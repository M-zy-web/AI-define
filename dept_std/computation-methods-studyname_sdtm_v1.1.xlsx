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liuy35\Downloads\"/>
    </mc:Choice>
  </mc:AlternateContent>
  <xr:revisionPtr revIDLastSave="0" documentId="13_ncr:1_{40A0CF68-95B8-41EB-9C73-FC21C9548FB0}" xr6:coauthVersionLast="36" xr6:coauthVersionMax="36" xr10:uidLastSave="{00000000-0000-0000-0000-000000000000}"/>
  <bookViews>
    <workbookView xWindow="0" yWindow="0" windowWidth="19200" windowHeight="7380" xr2:uid="{00000000-000D-0000-FFFF-FFFF00000000}"/>
  </bookViews>
  <sheets>
    <sheet name="Methods" sheetId="1" r:id="rId1"/>
  </sheets>
  <externalReferences>
    <externalReference r:id="rId2"/>
  </externalReferences>
  <definedNames>
    <definedName name="_xlnm._FilterDatabase" localSheetId="0" hidden="1">Methods!$A$1:$J$38</definedName>
    <definedName name="Alias">#REF!</definedName>
    <definedName name="CodeListItem">#REF!</definedName>
    <definedName name="CT_DataTypeList">[1]Lists!$C$2:$C$4</definedName>
    <definedName name="CT_SourceList">[1]Lists!$G$2:$G$4</definedName>
    <definedName name="EnumeratedItem">#REF!</definedName>
    <definedName name="ExternalCodeList">#REF!</definedName>
    <definedName name="YesNoList">[1]Lists!$E$2:$E$3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6" i="1" l="1"/>
  <c r="C16" i="1"/>
  <c r="B17" i="1"/>
  <c r="C17" i="1"/>
  <c r="C10" i="1"/>
  <c r="B10" i="1"/>
  <c r="C9" i="1"/>
  <c r="B9" i="1"/>
  <c r="C23" i="1"/>
  <c r="B23" i="1"/>
  <c r="B38" i="1"/>
  <c r="B34" i="1"/>
  <c r="B22" i="1"/>
  <c r="B3" i="1"/>
  <c r="B32" i="1"/>
  <c r="C37" i="1"/>
  <c r="C8" i="1"/>
  <c r="B27" i="1"/>
  <c r="C24" i="1"/>
  <c r="B12" i="1"/>
  <c r="B36" i="1"/>
  <c r="B35" i="1"/>
  <c r="C6" i="1"/>
  <c r="C3" i="1"/>
  <c r="C31" i="1"/>
  <c r="B30" i="1"/>
  <c r="B26" i="1"/>
  <c r="B24" i="1"/>
  <c r="C5" i="1"/>
  <c r="B20" i="1"/>
  <c r="C12" i="1"/>
  <c r="C26" i="1"/>
  <c r="C35" i="1"/>
  <c r="B28" i="1"/>
  <c r="C14" i="1"/>
  <c r="C38" i="1"/>
  <c r="B37" i="1"/>
  <c r="B5" i="1"/>
  <c r="B31" i="1"/>
  <c r="C11" i="1"/>
  <c r="C28" i="1"/>
  <c r="B6" i="1"/>
  <c r="C13" i="1"/>
  <c r="C36" i="1"/>
  <c r="B29" i="1"/>
  <c r="C34" i="1"/>
  <c r="B11" i="1"/>
  <c r="C27" i="1"/>
  <c r="B21" i="1"/>
  <c r="B13" i="1"/>
  <c r="B18" i="1"/>
  <c r="C32" i="1"/>
  <c r="B7" i="1"/>
  <c r="C21" i="1"/>
  <c r="B15" i="1"/>
  <c r="B8" i="1"/>
  <c r="B19" i="1"/>
  <c r="B33" i="1"/>
  <c r="B4" i="1"/>
  <c r="C7" i="1"/>
  <c r="B14" i="1"/>
  <c r="C4" i="1"/>
  <c r="C22" i="1"/>
  <c r="C20" i="1"/>
  <c r="C15" i="1"/>
  <c r="C25" i="1"/>
  <c r="C29" i="1"/>
  <c r="C19" i="1"/>
  <c r="C18" i="1"/>
  <c r="C30" i="1"/>
  <c r="C33" i="1"/>
  <c r="B25" i="1"/>
  <c r="C2" i="1"/>
  <c r="B2" i="1"/>
</calcChain>
</file>

<file path=xl/sharedStrings.xml><?xml version="1.0" encoding="utf-8"?>
<sst xmlns="http://schemas.openxmlformats.org/spreadsheetml/2006/main" count="236" uniqueCount="179">
  <si>
    <t>MethodOID</t>
    <phoneticPr fontId="2" type="noConversion"/>
  </si>
  <si>
    <t>MethodName</t>
    <phoneticPr fontId="2" type="noConversion"/>
  </si>
  <si>
    <t>MethodNameCN</t>
    <phoneticPr fontId="2" type="noConversion"/>
  </si>
  <si>
    <t>MethodType</t>
    <phoneticPr fontId="2" type="noConversion"/>
  </si>
  <si>
    <t>Description</t>
    <phoneticPr fontId="2" type="noConversion"/>
  </si>
  <si>
    <t>DescriptionCN</t>
    <phoneticPr fontId="2" type="noConversion"/>
  </si>
  <si>
    <t>DocsleafID</t>
    <phoneticPr fontId="2" type="noConversion"/>
  </si>
  <si>
    <t>PageRefType</t>
    <phoneticPr fontId="2" type="noConversion"/>
  </si>
  <si>
    <t>PageRefs</t>
  </si>
  <si>
    <t>&lt;StudyNumber&gt;</t>
  </si>
  <si>
    <t>MT.USUBJID</t>
    <phoneticPr fontId="2" type="noConversion"/>
  </si>
  <si>
    <t>Computation</t>
  </si>
  <si>
    <t>Concatenation of STUDYID, SITEID, SUBJID with "-". Use the last SUBJID for subject with multiple screenings.</t>
  </si>
  <si>
    <t>合并STUDYID、SITEID、SUBJID并用“-”隔开。对于重复筛选的受试者使用最后一次筛选的SUBJID。</t>
  </si>
  <si>
    <t>MT.APID</t>
    <phoneticPr fontId="2" type="noConversion"/>
  </si>
  <si>
    <t>Concatenation of STUDYID, SITEID, SUBJID, "AP" with "-". Use the last SUBJID for subject with multiple screenings.</t>
  </si>
  <si>
    <t>合并STUDYID、SITEID、SUBJID、"AP"并用“-”隔开。对于重复筛选的受试者使用最后一次筛选的SUBJID。</t>
  </si>
  <si>
    <t>MT.RFSTDTC</t>
  </si>
  <si>
    <t>The date/time when subject was first exposed to study treatment. Null for screen failures or unassigned subjects.</t>
  </si>
  <si>
    <t>研究治疗的首次暴露日期/时间。若受试者筛选失败或未分组则值为空。</t>
  </si>
  <si>
    <t>MT.RFENDTC</t>
  </si>
  <si>
    <t>The date/time when subject was determined to have ended study treatment. Null for screen failures or unassigned subjects.</t>
    <phoneticPr fontId="2" type="noConversion"/>
  </si>
  <si>
    <t>研究治疗的研究者判断的治疗结束日期。若受试者筛选失败或未分组则值为空。</t>
    <phoneticPr fontId="2" type="noConversion"/>
  </si>
  <si>
    <t>MT.RFXSTDTC</t>
  </si>
  <si>
    <t>The first date/time of exposure to any protocol-specified treatment, equal to the earliest value of EX.EXSTDTC.</t>
  </si>
  <si>
    <t>任意试验方案指定治疗的首次暴露日期/时间，等于最早的EX.EXSTDTC。</t>
    <phoneticPr fontId="2" type="noConversion"/>
  </si>
  <si>
    <t>MT.RFXENDTC</t>
  </si>
  <si>
    <t>The last date/time of exposure to any protocol-specified treatment, equal to the latest value of EX.EXENDTC.</t>
  </si>
  <si>
    <t>任意试验方案指定治疗的末次暴露日期/时间，等于最晚的EX.EXENDTC。</t>
  </si>
  <si>
    <t>MT.RFPENDTC</t>
  </si>
  <si>
    <t>The latest date collected for subject across datasets.</t>
    <phoneticPr fontId="2" type="noConversion"/>
  </si>
  <si>
    <t>受试者在所有数据集中收集到的最晚日期。</t>
    <phoneticPr fontId="2" type="noConversion"/>
  </si>
  <si>
    <t>MT.RFCSTDTC</t>
  </si>
  <si>
    <t>The first date/time  of exposure to any protocol-specified challenge agent, equal to the earliest value of AG. AGSTDTC.</t>
  </si>
  <si>
    <t>任意试验方案指定激发剂的首次暴露日期/时间，等于最早的AG. AGSTDTC。</t>
  </si>
  <si>
    <t>MT.RFCENDTC</t>
  </si>
  <si>
    <t>The last date/time of exposure to any protocol-specified challenge agent, equal to the earliest value of AG. AGENDTC.</t>
  </si>
  <si>
    <t>任意试验方案指定激发剂的末次暴露日期/时间，等于最早的AG. AGENDTC。</t>
  </si>
  <si>
    <t>MT.DTHFL</t>
  </si>
  <si>
    <t>Set to "Y" if DM.DTHDTC is populated.</t>
  </si>
  <si>
    <t>若生成了DM.DTHDTC则赋值为“Y”。</t>
  </si>
  <si>
    <t>MT.AGE</t>
    <phoneticPr fontId="2" type="noConversion"/>
  </si>
  <si>
    <t>Calculate using subject's Informed Consent Date and Birth Date.</t>
  </si>
  <si>
    <t>使用受试者知情同意书签署日期和出生日期计算。</t>
  </si>
  <si>
    <t>MT.ARMNRS</t>
  </si>
  <si>
    <t>If subject's Eligibility Status in Enrollment page is "Screen Failure" then set to "SCREEN FAILURE", or if DM.RFSTDTC is null then set to "ASSIGNED, NOT TREATED".</t>
  </si>
  <si>
    <t>若受试者入组信息页中筛选结果为“筛选失败”则赋值为“筛选失败”；否则若DM.RFSTDTC值为空则赋值为“已分组，未治疗”。</t>
  </si>
  <si>
    <t>MT.SEQ</t>
    <phoneticPr fontId="2" type="noConversion"/>
  </si>
  <si>
    <t>Unique sequence number within a subject, sorted in ascending order by the key variables in the dataset, restarting at 1 and increments by 1 for every subject.</t>
  </si>
  <si>
    <t>受试者的唯一序号，按照数据集内关键变量升序排序，从1开始以1递增。</t>
    <phoneticPr fontId="2" type="noConversion"/>
  </si>
  <si>
    <t>MT.EPOCH</t>
  </si>
  <si>
    <t>SE.EPOCH where date &gt;= SE.SESTDTC and date &lt; SE.SEENDTC.</t>
  </si>
  <si>
    <t>日期 &gt;= SE.SESTDTC且日期 &lt; SE.SEENDTC对应的SE.EPOCH。</t>
    <phoneticPr fontId="2" type="noConversion"/>
  </si>
  <si>
    <t>MT.DY</t>
    <phoneticPr fontId="2" type="noConversion"/>
  </si>
  <si>
    <t>Study day relative to DM.RFSTDTC. Date - DM.RFSTDTC + 1 if on or after DM.RFSTDTC. Date - DM.RFSTDTC if date precedes DM.RFSTDTC.</t>
    <phoneticPr fontId="2" type="noConversion"/>
  </si>
  <si>
    <t>相对于DM.RFSTDTC的研究日。若日期等于或晚于DM.RFSTDTC, 则为日期 - DM.RFSTDTC + 1。若日期早于DM.RFSTDTC, 则为日期 - DM.RFSTDTC。</t>
    <phoneticPr fontId="2" type="noConversion"/>
  </si>
  <si>
    <t>MT.SV.VISITNUM</t>
  </si>
  <si>
    <t>For scheduled visits, equal to the TV.VISITNUM of corresponding VISIT; for unscheduled visits, sorted in ascending order by SV.SVSTDTC, restarting at the TV.VISITNUM of the latest scheduled VISIT and increments by 0.01.</t>
  </si>
  <si>
    <t>对于计划内访视，等于VISIT对应的TV.VISITNUM；对于计划外访视，按SV.SVSTDTC升序排序，从最近一次计划内访视VISIT对应的TV.VISITNUM开始以0.01递增。</t>
  </si>
  <si>
    <t>MT.SV.VISIT</t>
  </si>
  <si>
    <t>For scheduled visits, equal to the collected visit name; for unscheduled visits, equal to the concatenation of the latest scheduled SV.VISIT, "Unscheduled", the unscheduled VISITNUM with "_".</t>
  </si>
  <si>
    <t>对于计划内访视，等于收集的访视名称；对于计划外访视，合并最近一次计划内访视SV.VISIT、“计划外访视”、计划外访视编号并用“_”隔开。</t>
  </si>
  <si>
    <t>MT.SVSTDTC</t>
  </si>
  <si>
    <t>The earlist date/time of a visit across all datasets. Equal to DM.RFICDTC for Screening visit.</t>
  </si>
  <si>
    <t>所有数据集中同一访视的最早日期/时间。对于筛选期访视，等于DM.RFICDTC。</t>
  </si>
  <si>
    <t>MT.SVENDTC</t>
  </si>
  <si>
    <t>The latest date/time of a visit across all datasets.</t>
  </si>
  <si>
    <t>所有数据集中同一访视的最晚日期/时间。</t>
    <phoneticPr fontId="2" type="noConversion"/>
  </si>
  <si>
    <t>MT.SVUPDES</t>
  </si>
  <si>
    <t>For unscheduled visits, equal to the concatenation of capitalized dataset names of raw data with ", ".</t>
  </si>
  <si>
    <t>对于计划外访视，合并大写格式的原始数据集名称并用“, ”隔开。</t>
  </si>
  <si>
    <t>MT.STTPT</t>
  </si>
  <si>
    <t>Equal to DM.RFPENDTC for the subject if --STRTPT is not missing.</t>
  </si>
  <si>
    <t>当--STRTPT有值时，等于受试者DM.RFPENDTC。</t>
  </si>
  <si>
    <t>MT.ENTPT</t>
  </si>
  <si>
    <t>Equal to DM.RFPENDTC for the subject if --ENRTPT is not missing.</t>
  </si>
  <si>
    <t>当--ENRTPT有值时，等于受试者DM.RFPENDTC。</t>
  </si>
  <si>
    <t>MT.AETRTEM</t>
  </si>
  <si>
    <t>Set to "Y" if AESTDTC &gt;=: DM.RFXSTDTC &gt; "", or both AESTDTC and AEENDTC are missing, or AESTDTC is missing and AEENDTC &gt;=: DM.RFXSTDTC &gt; "". Set to "N" otherwise.</t>
  </si>
  <si>
    <t>若AESTDTC &gt;=: DM.RFXSTDTC &gt; ""，或AESTDTC和AEENDTC均缺失，或AESTDTC缺失且AEENDTC &gt;=: DM.RFXSTDTC &gt; ""，赋值为“Y”，否则赋值为“N”。</t>
  </si>
  <si>
    <t>MT.STRESC</t>
    <phoneticPr fontId="2" type="noConversion"/>
  </si>
  <si>
    <t>Equal to --ORRES.</t>
    <phoneticPr fontId="2" type="noConversion"/>
  </si>
  <si>
    <t>等于--ORRES。</t>
    <phoneticPr fontId="2" type="noConversion"/>
  </si>
  <si>
    <t>MT.STRESN</t>
    <phoneticPr fontId="2" type="noConversion"/>
  </si>
  <si>
    <t>Copied in numeric format from --STRESC.</t>
    <phoneticPr fontId="2" type="noConversion"/>
  </si>
  <si>
    <t>--STRESC的数值型取值。</t>
    <phoneticPr fontId="2" type="noConversion"/>
  </si>
  <si>
    <t>MT.STRESU</t>
    <phoneticPr fontId="2" type="noConversion"/>
  </si>
  <si>
    <t>Equal to --ORRESU.</t>
    <phoneticPr fontId="2" type="noConversion"/>
  </si>
  <si>
    <t>等于--ORRESU。</t>
    <phoneticPr fontId="2" type="noConversion"/>
  </si>
  <si>
    <t>MT.STNRLO</t>
    <phoneticPr fontId="2" type="noConversion"/>
  </si>
  <si>
    <t>Equal to --ORNRLO.</t>
    <phoneticPr fontId="2" type="noConversion"/>
  </si>
  <si>
    <t>等于--ORNRLO。</t>
    <phoneticPr fontId="2" type="noConversion"/>
  </si>
  <si>
    <t>MT.STNRHI</t>
    <phoneticPr fontId="2" type="noConversion"/>
  </si>
  <si>
    <t>Equal to --ORNRHI.</t>
    <phoneticPr fontId="2" type="noConversion"/>
  </si>
  <si>
    <t>等于--ORNRHI。</t>
    <phoneticPr fontId="2" type="noConversion"/>
  </si>
  <si>
    <t>MT.LOBXFL</t>
    <phoneticPr fontId="2" type="noConversion"/>
  </si>
  <si>
    <t>Set to "Y" for last record with non-null original result on or before DM.RFXSTDTC. Null otherwise.</t>
  </si>
  <si>
    <t>对DM.RFXSTDTC之前或当天的末次非缺失原始结果赋值为“Y”，否则赋空值。</t>
  </si>
  <si>
    <t>MT.STRESC.STD</t>
    <phoneticPr fontId="2" type="noConversion"/>
  </si>
  <si>
    <t>Standardized --ORRES.</t>
  </si>
  <si>
    <t>标准格式的--ORRES。</t>
  </si>
  <si>
    <t>MT.LBSTRESC</t>
  </si>
  <si>
    <t>Equal to LBORRES in standard units.</t>
  </si>
  <si>
    <t>LBORRES在标准单位下的取值。</t>
  </si>
  <si>
    <t>MT.LBSTNRLO</t>
  </si>
  <si>
    <t>Equal to LBORNRLO in standard units.</t>
  </si>
  <si>
    <t>LBORNRLO在标准单位下的取值。</t>
  </si>
  <si>
    <t>MT.LBSTNRHI</t>
  </si>
  <si>
    <t>Equal to LBORNRHI in standard units.</t>
  </si>
  <si>
    <t>LBORNRHI在标准单位下的取值。</t>
  </si>
  <si>
    <t>MT.NRIND</t>
  </si>
  <si>
    <t>Set to "NORMAL" if . &lt; --STNRLO &lt;= --STRESN &lt;= --STNRHI, "LOW" if . &lt; --STRESN &lt; --STNRLO, "HIGH" if --STRESN &gt; --STNRHI &gt; ..</t>
  </si>
  <si>
    <t>若. &lt; --STNRLO &lt;= --STRESN &lt;= --STNRHI则赋值为“正常”，
若. &lt; --STRESN &lt; --STNRLO则赋值为“低”，
若--STRESN &gt; --STNRHI &gt; .则赋值为“高”。</t>
  </si>
  <si>
    <t>MT.IEORRES</t>
    <phoneticPr fontId="2" type="noConversion"/>
  </si>
  <si>
    <t>Set to "N" if IECAT = "INCLUSION", "Y" if IECAT = "EXCLUSION".</t>
  </si>
  <si>
    <t>若IECAT = “入选标准”则赋值为“N”，若IECAT = “排除标准”则赋值为“Y”。</t>
  </si>
  <si>
    <t>MT.RSDTC</t>
  </si>
  <si>
    <t>pending</t>
  </si>
  <si>
    <t>MT.TRT</t>
  </si>
  <si>
    <t>Derived by matching blind code and kit number.</t>
  </si>
  <si>
    <t>根据盲底及药物编号匹配得到。</t>
  </si>
  <si>
    <t>MT.RSUBJID</t>
  </si>
  <si>
    <t>Algorithm to derive RSUBJID</t>
  </si>
  <si>
    <t>RSUBJID的计算方式</t>
  </si>
  <si>
    <t>Subjid in DM/DC who have related with person in RP</t>
  </si>
  <si>
    <t>DM/DC中与RP中的人有关联的受试者</t>
  </si>
  <si>
    <t>MT.RDEVID</t>
  </si>
  <si>
    <t>Algorithm to derive RDEVID</t>
  </si>
  <si>
    <t>RDEVID的计算方式</t>
  </si>
  <si>
    <t>MT.SESTDTC</t>
  </si>
  <si>
    <t>Algorithm to derive SESTDTC</t>
  </si>
  <si>
    <t>SESTDTC的计算方式</t>
  </si>
  <si>
    <t>Equal to the date for that subject which exists in the data for the defined start of the Element.</t>
  </si>
  <si>
    <t>受试者在数据中定义的元素开始的日期。</t>
  </si>
  <si>
    <t>MT.SEENDTC</t>
  </si>
  <si>
    <t>Algorithm to derive SEENDTC</t>
  </si>
  <si>
    <t>SEENDTC的计算方式</t>
  </si>
  <si>
    <t>Equal to the start of the next Element.</t>
  </si>
  <si>
    <t>下一个元素的开始的日期。</t>
  </si>
  <si>
    <t>MT.SESTDTC.SCRN</t>
  </si>
  <si>
    <t>Algorithm to derive SESTDTC.SCRN</t>
  </si>
  <si>
    <t>SESTDTC.SCRN的计算方式</t>
  </si>
  <si>
    <t>Study informed consent date</t>
  </si>
  <si>
    <t>签署知情同意日期</t>
  </si>
  <si>
    <t>MT.SESTDTC.TRT</t>
  </si>
  <si>
    <t>Algorithm to derive SESTDTC.TRT</t>
  </si>
  <si>
    <t>SESTDTC.TRT的计算方式</t>
  </si>
  <si>
    <t>First administration of investigational product</t>
  </si>
  <si>
    <t>首次给药日期</t>
  </si>
  <si>
    <t>MT.SESTDTC.FU</t>
  </si>
  <si>
    <t>Algorithm to derive SESTDTC.FU</t>
  </si>
  <si>
    <t>SESTDTC.FU的计算方式</t>
  </si>
  <si>
    <t>End of Treatment Date</t>
  </si>
  <si>
    <t>治疗结束日期</t>
  </si>
  <si>
    <t>MT.SEENDTC.SCRN</t>
  </si>
  <si>
    <t>Algorithm to derive SEENDTC.SCRN</t>
  </si>
  <si>
    <t>SEENDTC.SCRN的计算方式</t>
  </si>
  <si>
    <t>MT.SEENDTC.TRT</t>
  </si>
  <si>
    <t>Algorithm to derive SEENDTC.TRT</t>
  </si>
  <si>
    <t>SEENDTC.TRT的计算方式</t>
  </si>
  <si>
    <t>MT.SEENDTC.FU</t>
  </si>
  <si>
    <t>Algorithm to derive SEENDTC.FU</t>
  </si>
  <si>
    <t>SEENDTC.FU的计算方式</t>
  </si>
  <si>
    <t>Date of End of Participation</t>
  </si>
  <si>
    <t>最后参与试验日期</t>
  </si>
  <si>
    <t>Algorithm to derive SVUPDES</t>
  </si>
  <si>
    <t>SVUPDES的计算方式</t>
  </si>
  <si>
    <t>If unplanned record is from a certain dataset then set to the name of dataset; else if record is from more datasets then set to separate them by semicolon.</t>
  </si>
  <si>
    <t>如果计划外访视来自某个数据集，则设置为数据集的名称；
若计划外访视来自多个数据集，则用分隔符号将数据集名称隔开。</t>
  </si>
  <si>
    <t>MT.BLFL</t>
  </si>
  <si>
    <t>Algorithm to derive BLFL</t>
  </si>
  <si>
    <t>BLFL的计算方式</t>
  </si>
  <si>
    <t>Set to "Y" for last record with non-null original result on or before DM.RFSTDTC. Null otherwise.</t>
  </si>
  <si>
    <t>对DM.RFSTDTC之前或当天的末次非缺失原始结果设置为"Y"，否则赋空值。</t>
  </si>
  <si>
    <t>MT.EGSTRESC.QTCF</t>
  </si>
  <si>
    <t>Algorithm to derive EGSTRESC.QTCF</t>
  </si>
  <si>
    <t>EGSTRESC.QTCF的计算方式</t>
  </si>
  <si>
    <t>QTCF=QT (msec)/(RR^0.33)
RR=60/Heart Rate (beats/min).</t>
  </si>
  <si>
    <t>QTCF=QT (msec)/(RR^0.33)
RR=60/心率 (次/min)。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</si>
</sst>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name val="Arial"/>
      <family val="2"/>
    </font>
    <font>
      <sz val="11"/>
      <color indexed="8"/>
      <name val="宋体"/>
      <family val="3"/>
      <charset val="134"/>
    </font>
    <font>
      <sz val="12"/>
      <name val="宋体"/>
      <family val="3"/>
      <charset val="134"/>
    </font>
    <font>
      <sz val="9"/>
      <name val="Times New Roman"/>
      <family val="1"/>
    </font>
    <font>
      <b/>
      <sz val="18"/>
      <color theme="3"/>
      <name val="等线 Light"/>
      <family val="3"/>
      <charset val="134"/>
      <scheme val="major"/>
    </font>
    <font>
      <b/>
      <sz val="15"/>
      <color theme="3"/>
      <name val="等线"/>
      <family val="3"/>
      <charset val="134"/>
      <scheme val="minor"/>
    </font>
    <font>
      <b/>
      <sz val="13"/>
      <color theme="3"/>
      <name val="等线"/>
      <family val="3"/>
      <charset val="134"/>
      <scheme val="minor"/>
    </font>
    <font>
      <b/>
      <sz val="11"/>
      <color theme="3"/>
      <name val="等线"/>
      <family val="3"/>
      <charset val="134"/>
      <scheme val="minor"/>
    </font>
    <font>
      <sz val="11"/>
      <color rgb="FF9C0006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  <font>
      <b/>
      <sz val="11"/>
      <color rgb="FFFA7D00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  <font>
      <i/>
      <sz val="11"/>
      <color rgb="FF7F7F7F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rgb="FFFA7D00"/>
      <name val="等线"/>
      <family val="3"/>
      <charset val="134"/>
      <scheme val="minor"/>
    </font>
    <font>
      <sz val="11"/>
      <color rgb="FF9C6500"/>
      <name val="等线"/>
      <family val="3"/>
      <charset val="134"/>
      <scheme val="minor"/>
    </font>
    <font>
      <b/>
      <sz val="11"/>
      <color rgb="FF3F3F3F"/>
      <name val="等线"/>
      <family val="3"/>
      <charset val="134"/>
      <scheme val="minor"/>
    </font>
    <font>
      <sz val="11"/>
      <color rgb="FF3F3F76"/>
      <name val="等线"/>
      <family val="3"/>
      <charset val="134"/>
      <scheme val="minor"/>
    </font>
    <font>
      <u/>
      <sz val="11"/>
      <color theme="10"/>
      <name val="等线"/>
      <family val="2"/>
      <charset val="134"/>
      <scheme val="minor"/>
    </font>
    <font>
      <sz val="11"/>
      <color indexed="8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b/>
      <sz val="10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0"/>
      <name val="等线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56">
    <xf numFmtId="0" fontId="0" fillId="0" borderId="0">
      <alignment vertical="center"/>
    </xf>
    <xf numFmtId="0" fontId="3" fillId="0" borderId="0">
      <alignment vertical="center"/>
    </xf>
    <xf numFmtId="0" fontId="6" fillId="0" borderId="0"/>
    <xf numFmtId="0" fontId="7" fillId="0" borderId="0"/>
    <xf numFmtId="0" fontId="6" fillId="0" borderId="0"/>
    <xf numFmtId="0" fontId="6" fillId="0" borderId="0"/>
    <xf numFmtId="0" fontId="5" fillId="0" borderId="0"/>
    <xf numFmtId="0" fontId="1" fillId="0" borderId="0"/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8" fillId="0" borderId="0"/>
    <xf numFmtId="0" fontId="7" fillId="0" borderId="0">
      <alignment vertical="center"/>
    </xf>
    <xf numFmtId="0" fontId="8" fillId="0" borderId="0"/>
    <xf numFmtId="0" fontId="15" fillId="2" borderId="0" applyNumberFormat="0" applyBorder="0" applyAlignment="0" applyProtection="0">
      <alignment vertical="center"/>
    </xf>
    <xf numFmtId="0" fontId="4" fillId="0" borderId="10" applyNumberFormat="0" applyFill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2" fillId="6" borderId="6" applyNumberFormat="0" applyAlignment="0" applyProtection="0">
      <alignment vertical="center"/>
    </xf>
    <xf numFmtId="0" fontId="23" fillId="5" borderId="5" applyNumberFormat="0" applyAlignment="0" applyProtection="0">
      <alignment vertical="center"/>
    </xf>
    <xf numFmtId="49" fontId="9" fillId="0" borderId="11">
      <alignment horizontal="left" vertical="top" wrapText="1"/>
    </xf>
    <xf numFmtId="0" fontId="5" fillId="8" borderId="9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" fillId="0" borderId="0"/>
    <xf numFmtId="0" fontId="3" fillId="0" borderId="0">
      <alignment vertical="center"/>
    </xf>
    <xf numFmtId="0" fontId="1" fillId="0" borderId="0"/>
    <xf numFmtId="0" fontId="8" fillId="0" borderId="0"/>
    <xf numFmtId="0" fontId="8" fillId="0" borderId="0"/>
    <xf numFmtId="0" fontId="1" fillId="0" borderId="0"/>
    <xf numFmtId="0" fontId="25" fillId="0" borderId="0">
      <alignment vertical="center"/>
    </xf>
    <xf numFmtId="0" fontId="3" fillId="0" borderId="0">
      <alignment vertical="center"/>
    </xf>
    <xf numFmtId="0" fontId="1" fillId="0" borderId="0"/>
    <xf numFmtId="0" fontId="2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1">
    <xf numFmtId="0" fontId="0" fillId="0" borderId="0" xfId="0">
      <alignment vertical="center"/>
    </xf>
    <xf numFmtId="0" fontId="27" fillId="9" borderId="1" xfId="0" applyFont="1" applyFill="1" applyBorder="1" applyAlignment="1">
      <alignment horizontal="center" vertical="center" wrapText="1"/>
    </xf>
    <xf numFmtId="0" fontId="27" fillId="9" borderId="1" xfId="0" applyFont="1" applyFill="1" applyBorder="1" applyAlignment="1">
      <alignment horizontal="center" vertical="center"/>
    </xf>
    <xf numFmtId="49" fontId="27" fillId="9" borderId="1" xfId="0" applyNumberFormat="1" applyFont="1" applyFill="1" applyBorder="1" applyAlignment="1">
      <alignment horizontal="center" vertical="center" wrapText="1"/>
    </xf>
    <xf numFmtId="0" fontId="28" fillId="0" borderId="0" xfId="0" applyFont="1">
      <alignment vertical="center"/>
    </xf>
    <xf numFmtId="49" fontId="28" fillId="0" borderId="0" xfId="0" applyNumberFormat="1" applyFont="1" applyAlignment="1">
      <alignment vertical="center" wrapText="1"/>
    </xf>
    <xf numFmtId="49" fontId="28" fillId="10" borderId="0" xfId="0" applyNumberFormat="1" applyFont="1" applyFill="1" applyAlignment="1">
      <alignment vertical="center" wrapText="1"/>
    </xf>
    <xf numFmtId="0" fontId="28" fillId="0" borderId="0" xfId="0" applyFont="1" applyFill="1">
      <alignment vertical="center"/>
    </xf>
    <xf numFmtId="49" fontId="28" fillId="0" borderId="0" xfId="0" applyNumberFormat="1" applyFont="1" applyFill="1" applyAlignment="1">
      <alignment vertical="center" wrapText="1"/>
    </xf>
    <xf numFmtId="0" fontId="29" fillId="0" borderId="0" xfId="0" applyFont="1" applyFill="1">
      <alignment vertical="center"/>
    </xf>
    <xf numFmtId="49" fontId="29" fillId="0" borderId="0" xfId="0" applyNumberFormat="1" applyFont="1" applyFill="1" applyAlignment="1">
      <alignment vertical="center" wrapText="1"/>
    </xf>
  </cellXfs>
  <cellStyles count="56">
    <cellStyle name="Hyperlink" xfId="49" xr:uid="{00000000-0005-0000-0000-000000000000}"/>
    <cellStyle name="Normal 16" xfId="3" xr:uid="{00000000-0005-0000-0000-000001000000}"/>
    <cellStyle name="Normal 2" xfId="10" xr:uid="{00000000-0005-0000-0000-000002000000}"/>
    <cellStyle name="Normal 4" xfId="4" xr:uid="{00000000-0005-0000-0000-000003000000}"/>
    <cellStyle name="Normal 6" xfId="5" xr:uid="{00000000-0005-0000-0000-000004000000}"/>
    <cellStyle name="Normal_R2CIST" xfId="11" xr:uid="{00000000-0005-0000-0000-000005000000}"/>
    <cellStyle name="标题 1 2" xfId="13" xr:uid="{00000000-0005-0000-0000-000006000000}"/>
    <cellStyle name="标题 2 2" xfId="14" xr:uid="{00000000-0005-0000-0000-000007000000}"/>
    <cellStyle name="标题 3 2" xfId="15" xr:uid="{00000000-0005-0000-0000-000008000000}"/>
    <cellStyle name="标题 4 2" xfId="16" xr:uid="{00000000-0005-0000-0000-000009000000}"/>
    <cellStyle name="标题 5" xfId="12" xr:uid="{00000000-0005-0000-0000-00000A000000}"/>
    <cellStyle name="差 2" xfId="17" xr:uid="{00000000-0005-0000-0000-00000B000000}"/>
    <cellStyle name="常规" xfId="0" builtinId="0"/>
    <cellStyle name="常规 10" xfId="50" xr:uid="{00000000-0005-0000-0000-00000D000000}"/>
    <cellStyle name="常规 11" xfId="52" xr:uid="{00000000-0005-0000-0000-00000E000000}"/>
    <cellStyle name="常规 12" xfId="54" xr:uid="{00000000-0005-0000-0000-00000F000000}"/>
    <cellStyle name="常规 13" xfId="39" xr:uid="{00000000-0005-0000-0000-000010000000}"/>
    <cellStyle name="常规 2" xfId="1" xr:uid="{00000000-0005-0000-0000-000011000000}"/>
    <cellStyle name="常规 2 2" xfId="6" xr:uid="{00000000-0005-0000-0000-000012000000}"/>
    <cellStyle name="常规 2 2 2" xfId="44" xr:uid="{00000000-0005-0000-0000-000013000000}"/>
    <cellStyle name="常规 2 2 2 2" xfId="41" xr:uid="{00000000-0005-0000-0000-000014000000}"/>
    <cellStyle name="常规 2 2 3" xfId="19" xr:uid="{00000000-0005-0000-0000-000015000000}"/>
    <cellStyle name="常规 2 2 4" xfId="48" xr:uid="{00000000-0005-0000-0000-000016000000}"/>
    <cellStyle name="常规 2 2 5" xfId="51" xr:uid="{00000000-0005-0000-0000-000017000000}"/>
    <cellStyle name="常规 2 2 6" xfId="53" xr:uid="{00000000-0005-0000-0000-000018000000}"/>
    <cellStyle name="常规 2 2 7" xfId="55" xr:uid="{00000000-0005-0000-0000-000019000000}"/>
    <cellStyle name="常规 2 3" xfId="8" xr:uid="{00000000-0005-0000-0000-00001A000000}"/>
    <cellStyle name="常规 2 3 2" xfId="43" xr:uid="{00000000-0005-0000-0000-00001B000000}"/>
    <cellStyle name="常规 2 3 3" xfId="46" xr:uid="{00000000-0005-0000-0000-00001C000000}"/>
    <cellStyle name="常规 2 4" xfId="18" xr:uid="{00000000-0005-0000-0000-00001D000000}"/>
    <cellStyle name="常规 2 6" xfId="38" xr:uid="{00000000-0005-0000-0000-00001E000000}"/>
    <cellStyle name="常规 3" xfId="2" xr:uid="{00000000-0005-0000-0000-00001F000000}"/>
    <cellStyle name="常规 3 2" xfId="20" xr:uid="{00000000-0005-0000-0000-000020000000}"/>
    <cellStyle name="常规 3 3" xfId="21" xr:uid="{00000000-0005-0000-0000-000021000000}"/>
    <cellStyle name="常规 3 4" xfId="47" xr:uid="{00000000-0005-0000-0000-000022000000}"/>
    <cellStyle name="常规 4" xfId="7" xr:uid="{00000000-0005-0000-0000-000023000000}"/>
    <cellStyle name="常规 4 2" xfId="22" xr:uid="{00000000-0005-0000-0000-000024000000}"/>
    <cellStyle name="常规 5" xfId="23" xr:uid="{00000000-0005-0000-0000-000025000000}"/>
    <cellStyle name="常规 6" xfId="24" xr:uid="{00000000-0005-0000-0000-000026000000}"/>
    <cellStyle name="常规 7" xfId="40" xr:uid="{00000000-0005-0000-0000-000027000000}"/>
    <cellStyle name="常规 7 2" xfId="42" xr:uid="{00000000-0005-0000-0000-000028000000}"/>
    <cellStyle name="常规 8" xfId="9" xr:uid="{00000000-0005-0000-0000-000029000000}"/>
    <cellStyle name="常规 9" xfId="45" xr:uid="{00000000-0005-0000-0000-00002A000000}"/>
    <cellStyle name="超链接 2" xfId="37" xr:uid="{00000000-0005-0000-0000-00002B000000}"/>
    <cellStyle name="好 2" xfId="25" xr:uid="{00000000-0005-0000-0000-00002C000000}"/>
    <cellStyle name="汇总 2" xfId="26" xr:uid="{00000000-0005-0000-0000-00002D000000}"/>
    <cellStyle name="计算 2" xfId="27" xr:uid="{00000000-0005-0000-0000-00002E000000}"/>
    <cellStyle name="检查单元格 2" xfId="28" xr:uid="{00000000-0005-0000-0000-00002F000000}"/>
    <cellStyle name="解释性文本 2" xfId="29" xr:uid="{00000000-0005-0000-0000-000030000000}"/>
    <cellStyle name="警告文本 2" xfId="30" xr:uid="{00000000-0005-0000-0000-000031000000}"/>
    <cellStyle name="链接单元格 2" xfId="31" xr:uid="{00000000-0005-0000-0000-000032000000}"/>
    <cellStyle name="适中 2" xfId="32" xr:uid="{00000000-0005-0000-0000-000033000000}"/>
    <cellStyle name="输出 2" xfId="33" xr:uid="{00000000-0005-0000-0000-000034000000}"/>
    <cellStyle name="输入 2" xfId="34" xr:uid="{00000000-0005-0000-0000-000035000000}"/>
    <cellStyle name="样式 1" xfId="35" xr:uid="{00000000-0005-0000-0000-000036000000}"/>
    <cellStyle name="注释 2" xfId="36" xr:uid="{00000000-0005-0000-0000-00003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arepoint.sha.hengrui.com/Reference/PXL/Studies/Amgen/SOP/GBS-0004%20Data%20Definition%20Table%20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ersion History"/>
      <sheetName val="Instructions"/>
      <sheetName val="TOC"/>
      <sheetName val="VAR"/>
      <sheetName val="VLM"/>
      <sheetName val="CT"/>
      <sheetName val="Lists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C2" t="str">
            <v>text</v>
          </cell>
          <cell r="E2" t="str">
            <v>Yes</v>
          </cell>
          <cell r="G2" t="str">
            <v>CDISC</v>
          </cell>
        </row>
        <row r="3">
          <cell r="C3" t="str">
            <v>float</v>
          </cell>
          <cell r="E3" t="str">
            <v>No</v>
          </cell>
          <cell r="G3" t="str">
            <v>Amgen</v>
          </cell>
        </row>
        <row r="4">
          <cell r="C4" t="str">
            <v>integer</v>
          </cell>
          <cell r="G4" t="str">
            <v>Study-specific</v>
          </cell>
        </row>
      </sheetData>
      <sheetData sheetId="7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2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defaultColWidth="9.125" defaultRowHeight="12.75" x14ac:dyDescent="0.2"/>
  <cols>
    <col min="1" max="1" width="37.125" style="4" customWidth="1"/>
    <col min="2" max="2" width="44.5" style="4" customWidth="1"/>
    <col min="3" max="3" width="38.875" style="4" customWidth="1"/>
    <col min="4" max="4" width="13.375" style="4" customWidth="1"/>
    <col min="5" max="5" width="47.875" style="5" customWidth="1"/>
    <col min="6" max="6" width="72.875" style="5" customWidth="1"/>
    <col min="7" max="8" width="18.125" style="4" customWidth="1"/>
    <col min="9" max="9" width="9.25" style="4" customWidth="1"/>
    <col min="10" max="10" width="13.875" style="4" customWidth="1"/>
    <col min="11" max="16384" width="9.125" style="4"/>
  </cols>
  <sheetData>
    <row r="1" spans="1:10" x14ac:dyDescent="0.2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5.5" x14ac:dyDescent="0.2">
      <c r="A2" s="4" t="s">
        <v>10</v>
      </c>
      <c r="B2" s="4" t="str">
        <f>_xlfn.IFS(D2="Computation","Algorithm to derive "&amp;RIGHT(A2,LEN(A2)-3),D2="Imputation","Algorithm to impute "&amp;MID(A2,4,LEN(A2)-7))</f>
        <v>Algorithm to derive USUBJID</v>
      </c>
      <c r="C2" s="4" t="str">
        <f>_xlfn.IFS(D2="Computation",RIGHT(A2,LEN(A2)-3)&amp;"的计算方式",D2="Imputation",MID(A2,4,LEN(A2)-7)&amp;"的填补方式")</f>
        <v>USUBJID的计算方式</v>
      </c>
      <c r="D2" s="4" t="s">
        <v>11</v>
      </c>
      <c r="E2" s="5" t="s">
        <v>12</v>
      </c>
      <c r="F2" s="5" t="s">
        <v>13</v>
      </c>
    </row>
    <row r="3" spans="1:10" ht="25.5" x14ac:dyDescent="0.2">
      <c r="A3" s="4" t="s">
        <v>14</v>
      </c>
      <c r="B3" s="4" t="str">
        <f>_xlfn.IFS(D3="Computation","Algorithm to derive "&amp;RIGHT(A3,LEN(A3)-3),D3="Imputation","Algorithm to impute "&amp;MID(A3,4,LEN(A3)-7))</f>
        <v>Algorithm to derive APID</v>
      </c>
      <c r="C3" s="4" t="str">
        <f>_xlfn.IFS(D3="Computation",RIGHT(A3,LEN(A3)-3)&amp;"的计算方式",D3="Imputation",MID(A3,4,LEN(A3)-7)&amp;"的填补方式")</f>
        <v>APID的计算方式</v>
      </c>
      <c r="D3" s="4" t="s">
        <v>11</v>
      </c>
      <c r="E3" s="5" t="s">
        <v>15</v>
      </c>
      <c r="F3" s="5" t="s">
        <v>16</v>
      </c>
    </row>
    <row r="4" spans="1:10" ht="25.5" x14ac:dyDescent="0.2">
      <c r="A4" s="4" t="s">
        <v>17</v>
      </c>
      <c r="B4" s="4" t="str">
        <f t="shared" ref="B4:B32" si="0">_xlfn.IFS(D4="Computation","Algorithm to derive "&amp;RIGHT(A4,LEN(A4)-3),D4="Imputation","Algorithm to impute "&amp;MID(A4,4,LEN(A4)-7))</f>
        <v>Algorithm to derive RFSTDTC</v>
      </c>
      <c r="C4" s="4" t="str">
        <f t="shared" ref="C4:C32" si="1">_xlfn.IFS(D4="Computation",RIGHT(A4,LEN(A4)-3)&amp;"的计算方式",D4="Imputation",MID(A4,4,LEN(A4)-7)&amp;"的填补方式")</f>
        <v>RFSTDTC的计算方式</v>
      </c>
      <c r="D4" s="4" t="s">
        <v>11</v>
      </c>
      <c r="E4" s="5" t="s">
        <v>18</v>
      </c>
      <c r="F4" s="5" t="s">
        <v>19</v>
      </c>
    </row>
    <row r="5" spans="1:10" ht="25.5" x14ac:dyDescent="0.2">
      <c r="A5" s="4" t="s">
        <v>20</v>
      </c>
      <c r="B5" s="4" t="str">
        <f t="shared" si="0"/>
        <v>Algorithm to derive RFENDTC</v>
      </c>
      <c r="C5" s="4" t="str">
        <f t="shared" si="1"/>
        <v>RFENDTC的计算方式</v>
      </c>
      <c r="D5" s="4" t="s">
        <v>11</v>
      </c>
      <c r="E5" s="5" t="s">
        <v>21</v>
      </c>
      <c r="F5" s="5" t="s">
        <v>22</v>
      </c>
    </row>
    <row r="6" spans="1:10" ht="25.5" x14ac:dyDescent="0.2">
      <c r="A6" s="4" t="s">
        <v>23</v>
      </c>
      <c r="B6" s="4" t="str">
        <f t="shared" si="0"/>
        <v>Algorithm to derive RFXSTDTC</v>
      </c>
      <c r="C6" s="4" t="str">
        <f t="shared" si="1"/>
        <v>RFXSTDTC的计算方式</v>
      </c>
      <c r="D6" s="4" t="s">
        <v>11</v>
      </c>
      <c r="E6" s="5" t="s">
        <v>24</v>
      </c>
      <c r="F6" s="5" t="s">
        <v>25</v>
      </c>
    </row>
    <row r="7" spans="1:10" ht="25.5" x14ac:dyDescent="0.2">
      <c r="A7" s="4" t="s">
        <v>26</v>
      </c>
      <c r="B7" s="4" t="str">
        <f t="shared" si="0"/>
        <v>Algorithm to derive RFXENDTC</v>
      </c>
      <c r="C7" s="4" t="str">
        <f t="shared" si="1"/>
        <v>RFXENDTC的计算方式</v>
      </c>
      <c r="D7" s="4" t="s">
        <v>11</v>
      </c>
      <c r="E7" s="5" t="s">
        <v>27</v>
      </c>
      <c r="F7" s="5" t="s">
        <v>28</v>
      </c>
    </row>
    <row r="8" spans="1:10" x14ac:dyDescent="0.2">
      <c r="A8" s="4" t="s">
        <v>29</v>
      </c>
      <c r="B8" s="4" t="str">
        <f t="shared" si="0"/>
        <v>Algorithm to derive RFPENDTC</v>
      </c>
      <c r="C8" s="4" t="str">
        <f t="shared" si="1"/>
        <v>RFPENDTC的计算方式</v>
      </c>
      <c r="D8" s="4" t="s">
        <v>11</v>
      </c>
      <c r="E8" s="5" t="s">
        <v>30</v>
      </c>
      <c r="F8" s="5" t="s">
        <v>31</v>
      </c>
    </row>
    <row r="9" spans="1:10" s="7" customFormat="1" ht="25.5" x14ac:dyDescent="0.2">
      <c r="A9" s="7" t="s">
        <v>32</v>
      </c>
      <c r="B9" s="7" t="str">
        <f t="shared" ref="B9" si="2">_xlfn.IFS(D9="Computation","Algorithm to derive "&amp;RIGHT(A9,LEN(A9)-3),D9="Imputation","Algorithm to impute "&amp;MID(A9,4,LEN(A9)-7))</f>
        <v>Algorithm to derive RFCSTDTC</v>
      </c>
      <c r="C9" s="7" t="str">
        <f t="shared" ref="C9" si="3">_xlfn.IFS(D9="Computation",RIGHT(A9,LEN(A9)-3)&amp;"的计算方式",D9="Imputation",MID(A9,4,LEN(A9)-7)&amp;"的填补方式")</f>
        <v>RFCSTDTC的计算方式</v>
      </c>
      <c r="D9" s="7" t="s">
        <v>11</v>
      </c>
      <c r="E9" s="8" t="s">
        <v>33</v>
      </c>
      <c r="F9" s="8" t="s">
        <v>34</v>
      </c>
    </row>
    <row r="10" spans="1:10" s="7" customFormat="1" ht="25.5" x14ac:dyDescent="0.2">
      <c r="A10" s="7" t="s">
        <v>35</v>
      </c>
      <c r="B10" s="7" t="str">
        <f t="shared" ref="B10" si="4">_xlfn.IFS(D10="Computation","Algorithm to derive "&amp;RIGHT(A10,LEN(A10)-3),D10="Imputation","Algorithm to impute "&amp;MID(A10,4,LEN(A10)-7))</f>
        <v>Algorithm to derive RFCENDTC</v>
      </c>
      <c r="C10" s="7" t="str">
        <f t="shared" ref="C10" si="5">_xlfn.IFS(D10="Computation",RIGHT(A10,LEN(A10)-3)&amp;"的计算方式",D10="Imputation",MID(A10,4,LEN(A10)-7)&amp;"的填补方式")</f>
        <v>RFCENDTC的计算方式</v>
      </c>
      <c r="D10" s="7" t="s">
        <v>11</v>
      </c>
      <c r="E10" s="8" t="s">
        <v>36</v>
      </c>
      <c r="F10" s="8" t="s">
        <v>37</v>
      </c>
    </row>
    <row r="11" spans="1:10" x14ac:dyDescent="0.2">
      <c r="A11" s="4" t="s">
        <v>38</v>
      </c>
      <c r="B11" s="4" t="str">
        <f t="shared" si="0"/>
        <v>Algorithm to derive DTHFL</v>
      </c>
      <c r="C11" s="4" t="str">
        <f t="shared" si="1"/>
        <v>DTHFL的计算方式</v>
      </c>
      <c r="D11" s="4" t="s">
        <v>11</v>
      </c>
      <c r="E11" s="5" t="s">
        <v>39</v>
      </c>
      <c r="F11" s="5" t="s">
        <v>40</v>
      </c>
    </row>
    <row r="12" spans="1:10" x14ac:dyDescent="0.2">
      <c r="A12" s="4" t="s">
        <v>41</v>
      </c>
      <c r="B12" s="4" t="str">
        <f t="shared" ref="B12" si="6">_xlfn.IFS(D12="Computation","Algorithm to derive "&amp;RIGHT(A12,LEN(A12)-3),D12="Imputation","Algorithm to impute "&amp;MID(A12,4,LEN(A12)-7))</f>
        <v>Algorithm to derive AGE</v>
      </c>
      <c r="C12" s="4" t="str">
        <f t="shared" ref="C12" si="7">_xlfn.IFS(D12="Computation",RIGHT(A12,LEN(A12)-3)&amp;"的计算方式",D12="Imputation",MID(A12,4,LEN(A12)-7)&amp;"的填补方式")</f>
        <v>AGE的计算方式</v>
      </c>
      <c r="D12" s="4" t="s">
        <v>11</v>
      </c>
      <c r="E12" s="5" t="s">
        <v>42</v>
      </c>
      <c r="F12" s="5" t="s">
        <v>43</v>
      </c>
    </row>
    <row r="13" spans="1:10" ht="51" customHeight="1" x14ac:dyDescent="0.2">
      <c r="A13" s="4" t="s">
        <v>44</v>
      </c>
      <c r="B13" s="4" t="str">
        <f t="shared" si="0"/>
        <v>Algorithm to derive ARMNRS</v>
      </c>
      <c r="C13" s="4" t="str">
        <f t="shared" si="1"/>
        <v>ARMNRS的计算方式</v>
      </c>
      <c r="D13" s="4" t="s">
        <v>11</v>
      </c>
      <c r="E13" s="5" t="s">
        <v>45</v>
      </c>
      <c r="F13" s="5" t="s">
        <v>46</v>
      </c>
    </row>
    <row r="14" spans="1:10" ht="38.25" x14ac:dyDescent="0.2">
      <c r="A14" s="4" t="s">
        <v>47</v>
      </c>
      <c r="B14" s="4" t="str">
        <f t="shared" si="0"/>
        <v>Algorithm to derive SEQ</v>
      </c>
      <c r="C14" s="4" t="str">
        <f t="shared" si="1"/>
        <v>SEQ的计算方式</v>
      </c>
      <c r="D14" s="4" t="s">
        <v>11</v>
      </c>
      <c r="E14" s="5" t="s">
        <v>48</v>
      </c>
      <c r="F14" s="5" t="s">
        <v>49</v>
      </c>
    </row>
    <row r="15" spans="1:10" x14ac:dyDescent="0.2">
      <c r="A15" s="4" t="s">
        <v>50</v>
      </c>
      <c r="B15" s="4" t="str">
        <f>_xlfn.IFS(D15="Computation","Algorithm to derive "&amp;RIGHT(A15,LEN(A15)-3),D15="Imputation","Algorithm to impute "&amp;MID(A15,4,LEN(A15)-7))</f>
        <v>Algorithm to derive EPOCH</v>
      </c>
      <c r="C15" s="4" t="str">
        <f>_xlfn.IFS(D15="Computation",RIGHT(A15,LEN(A15)-3)&amp;"的计算方式",D15="Imputation",MID(A15,4,LEN(A15)-7)&amp;"的填补方式")</f>
        <v>EPOCH的计算方式</v>
      </c>
      <c r="D15" s="4" t="s">
        <v>11</v>
      </c>
      <c r="E15" s="5" t="s">
        <v>51</v>
      </c>
      <c r="F15" s="5" t="s">
        <v>52</v>
      </c>
    </row>
    <row r="16" spans="1:10" ht="38.25" x14ac:dyDescent="0.2">
      <c r="A16" s="4" t="s">
        <v>53</v>
      </c>
      <c r="B16" s="4" t="str">
        <f t="shared" si="0"/>
        <v>Algorithm to derive DY</v>
      </c>
      <c r="C16" s="4" t="str">
        <f t="shared" si="1"/>
        <v>DY的计算方式</v>
      </c>
      <c r="D16" s="4" t="s">
        <v>11</v>
      </c>
      <c r="E16" s="5" t="s">
        <v>54</v>
      </c>
      <c r="F16" s="5" t="s">
        <v>55</v>
      </c>
    </row>
    <row r="17" spans="1:6" ht="51" x14ac:dyDescent="0.2">
      <c r="A17" s="4" t="s">
        <v>56</v>
      </c>
      <c r="B17" s="4" t="str">
        <f t="shared" si="0"/>
        <v>Algorithm to derive SV.VISITNUM</v>
      </c>
      <c r="C17" s="4" t="str">
        <f t="shared" si="1"/>
        <v>SV.VISITNUM的计算方式</v>
      </c>
      <c r="D17" s="4" t="s">
        <v>11</v>
      </c>
      <c r="E17" s="5" t="s">
        <v>57</v>
      </c>
      <c r="F17" s="5" t="s">
        <v>58</v>
      </c>
    </row>
    <row r="18" spans="1:6" ht="51" x14ac:dyDescent="0.2">
      <c r="A18" s="4" t="s">
        <v>59</v>
      </c>
      <c r="B18" s="4" t="str">
        <f t="shared" si="0"/>
        <v>Algorithm to derive SV.VISIT</v>
      </c>
      <c r="C18" s="4" t="str">
        <f t="shared" si="1"/>
        <v>SV.VISIT的计算方式</v>
      </c>
      <c r="D18" s="4" t="s">
        <v>11</v>
      </c>
      <c r="E18" s="5" t="s">
        <v>60</v>
      </c>
      <c r="F18" s="5" t="s">
        <v>61</v>
      </c>
    </row>
    <row r="19" spans="1:6" ht="25.5" x14ac:dyDescent="0.2">
      <c r="A19" s="4" t="s">
        <v>62</v>
      </c>
      <c r="B19" s="4" t="str">
        <f t="shared" si="0"/>
        <v>Algorithm to derive SVSTDTC</v>
      </c>
      <c r="C19" s="4" t="str">
        <f t="shared" si="1"/>
        <v>SVSTDTC的计算方式</v>
      </c>
      <c r="D19" s="4" t="s">
        <v>11</v>
      </c>
      <c r="E19" s="5" t="s">
        <v>63</v>
      </c>
      <c r="F19" s="5" t="s">
        <v>64</v>
      </c>
    </row>
    <row r="20" spans="1:6" x14ac:dyDescent="0.2">
      <c r="A20" s="4" t="s">
        <v>65</v>
      </c>
      <c r="B20" s="4" t="str">
        <f t="shared" si="0"/>
        <v>Algorithm to derive SVENDTC</v>
      </c>
      <c r="C20" s="4" t="str">
        <f t="shared" si="1"/>
        <v>SVENDTC的计算方式</v>
      </c>
      <c r="D20" s="4" t="s">
        <v>11</v>
      </c>
      <c r="E20" s="5" t="s">
        <v>66</v>
      </c>
      <c r="F20" s="5" t="s">
        <v>67</v>
      </c>
    </row>
    <row r="21" spans="1:6" ht="26.45" customHeight="1" x14ac:dyDescent="0.2">
      <c r="A21" s="4" t="s">
        <v>68</v>
      </c>
      <c r="B21" s="4" t="str">
        <f t="shared" si="0"/>
        <v>Algorithm to derive SVUPDES</v>
      </c>
      <c r="C21" s="4" t="str">
        <f t="shared" si="1"/>
        <v>SVUPDES的计算方式</v>
      </c>
      <c r="D21" s="4" t="s">
        <v>11</v>
      </c>
      <c r="E21" s="5" t="s">
        <v>69</v>
      </c>
      <c r="F21" s="5" t="s">
        <v>70</v>
      </c>
    </row>
    <row r="22" spans="1:6" x14ac:dyDescent="0.2">
      <c r="A22" s="4" t="s">
        <v>71</v>
      </c>
      <c r="B22" s="4" t="str">
        <f t="shared" si="0"/>
        <v>Algorithm to derive STTPT</v>
      </c>
      <c r="C22" s="4" t="str">
        <f t="shared" si="1"/>
        <v>STTPT的计算方式</v>
      </c>
      <c r="D22" s="4" t="s">
        <v>11</v>
      </c>
      <c r="E22" s="5" t="s">
        <v>72</v>
      </c>
      <c r="F22" s="5" t="s">
        <v>73</v>
      </c>
    </row>
    <row r="23" spans="1:6" x14ac:dyDescent="0.2">
      <c r="A23" s="4" t="s">
        <v>74</v>
      </c>
      <c r="B23" s="4" t="str">
        <f t="shared" ref="B23" si="8">_xlfn.IFS(D23="Computation","Algorithm to derive "&amp;RIGHT(A23,LEN(A23)-3),D23="Imputation","Algorithm to impute "&amp;MID(A23,4,LEN(A23)-7))</f>
        <v>Algorithm to derive ENTPT</v>
      </c>
      <c r="C23" s="4" t="str">
        <f t="shared" ref="C23" si="9">_xlfn.IFS(D23="Computation",RIGHT(A23,LEN(A23)-3)&amp;"的计算方式",D23="Imputation",MID(A23,4,LEN(A23)-7)&amp;"的填补方式")</f>
        <v>ENTPT的计算方式</v>
      </c>
      <c r="D23" s="4" t="s">
        <v>11</v>
      </c>
      <c r="E23" s="5" t="s">
        <v>75</v>
      </c>
      <c r="F23" s="5" t="s">
        <v>76</v>
      </c>
    </row>
    <row r="24" spans="1:6" ht="38.25" x14ac:dyDescent="0.2">
      <c r="A24" s="4" t="s">
        <v>77</v>
      </c>
      <c r="B24" s="4" t="str">
        <f t="shared" ref="B24" si="10">_xlfn.IFS(D24="Computation","Algorithm to derive "&amp;RIGHT(A24,LEN(A24)-3),D24="Imputation","Algorithm to impute "&amp;MID(A24,4,LEN(A24)-7))</f>
        <v>Algorithm to derive AETRTEM</v>
      </c>
      <c r="C24" s="4" t="str">
        <f t="shared" si="1"/>
        <v>AETRTEM的计算方式</v>
      </c>
      <c r="D24" s="4" t="s">
        <v>11</v>
      </c>
      <c r="E24" s="5" t="s">
        <v>78</v>
      </c>
      <c r="F24" s="5" t="s">
        <v>79</v>
      </c>
    </row>
    <row r="25" spans="1:6" x14ac:dyDescent="0.2">
      <c r="A25" s="4" t="s">
        <v>80</v>
      </c>
      <c r="B25" s="4" t="str">
        <f t="shared" si="0"/>
        <v>Algorithm to derive STRESC</v>
      </c>
      <c r="C25" s="4" t="str">
        <f t="shared" si="1"/>
        <v>STRESC的计算方式</v>
      </c>
      <c r="D25" s="4" t="s">
        <v>11</v>
      </c>
      <c r="E25" s="5" t="s">
        <v>81</v>
      </c>
      <c r="F25" s="5" t="s">
        <v>82</v>
      </c>
    </row>
    <row r="26" spans="1:6" x14ac:dyDescent="0.2">
      <c r="A26" s="4" t="s">
        <v>83</v>
      </c>
      <c r="B26" s="4" t="str">
        <f t="shared" si="0"/>
        <v>Algorithm to derive STRESN</v>
      </c>
      <c r="C26" s="4" t="str">
        <f t="shared" si="1"/>
        <v>STRESN的计算方式</v>
      </c>
      <c r="D26" s="4" t="s">
        <v>11</v>
      </c>
      <c r="E26" s="5" t="s">
        <v>84</v>
      </c>
      <c r="F26" s="5" t="s">
        <v>85</v>
      </c>
    </row>
    <row r="27" spans="1:6" x14ac:dyDescent="0.2">
      <c r="A27" s="4" t="s">
        <v>86</v>
      </c>
      <c r="B27" s="4" t="str">
        <f t="shared" si="0"/>
        <v>Algorithm to derive STRESU</v>
      </c>
      <c r="C27" s="4" t="str">
        <f t="shared" si="1"/>
        <v>STRESU的计算方式</v>
      </c>
      <c r="D27" s="4" t="s">
        <v>11</v>
      </c>
      <c r="E27" s="5" t="s">
        <v>87</v>
      </c>
      <c r="F27" s="5" t="s">
        <v>88</v>
      </c>
    </row>
    <row r="28" spans="1:6" x14ac:dyDescent="0.2">
      <c r="A28" s="4" t="s">
        <v>89</v>
      </c>
      <c r="B28" s="4" t="str">
        <f t="shared" ref="B28:B29" si="11">_xlfn.IFS(D28="Computation","Algorithm to derive "&amp;RIGHT(A28,LEN(A28)-3),D28="Imputation","Algorithm to impute "&amp;MID(A28,4,LEN(A28)-7))</f>
        <v>Algorithm to derive STNRLO</v>
      </c>
      <c r="C28" s="4" t="str">
        <f t="shared" ref="C28:C29" si="12">_xlfn.IFS(D28="Computation",RIGHT(A28,LEN(A28)-3)&amp;"的计算方式",D28="Imputation",MID(A28,4,LEN(A28)-7)&amp;"的填补方式")</f>
        <v>STNRLO的计算方式</v>
      </c>
      <c r="D28" s="4" t="s">
        <v>11</v>
      </c>
      <c r="E28" s="5" t="s">
        <v>90</v>
      </c>
      <c r="F28" s="5" t="s">
        <v>91</v>
      </c>
    </row>
    <row r="29" spans="1:6" x14ac:dyDescent="0.2">
      <c r="A29" s="4" t="s">
        <v>92</v>
      </c>
      <c r="B29" s="4" t="str">
        <f t="shared" si="11"/>
        <v>Algorithm to derive STNRHI</v>
      </c>
      <c r="C29" s="4" t="str">
        <f t="shared" si="12"/>
        <v>STNRHI的计算方式</v>
      </c>
      <c r="D29" s="4" t="s">
        <v>11</v>
      </c>
      <c r="E29" s="5" t="s">
        <v>93</v>
      </c>
      <c r="F29" s="5" t="s">
        <v>94</v>
      </c>
    </row>
    <row r="30" spans="1:6" ht="25.5" x14ac:dyDescent="0.2">
      <c r="A30" s="4" t="s">
        <v>95</v>
      </c>
      <c r="B30" s="4" t="str">
        <f>_xlfn.IFS(D30="Computation","Algorithm to derive "&amp;RIGHT(A30,LEN(A30)-3),D30="Imputation","Algorithm to impute "&amp;MID(A30,4,LEN(A30)-7))</f>
        <v>Algorithm to derive LOBXFL</v>
      </c>
      <c r="C30" s="4" t="str">
        <f>_xlfn.IFS(D30="Computation",RIGHT(A30,LEN(A30)-3)&amp;"的计算方式",D30="Imputation",MID(A30,4,LEN(A30)-7)&amp;"的填补方式")</f>
        <v>LOBXFL的计算方式</v>
      </c>
      <c r="D30" s="4" t="s">
        <v>11</v>
      </c>
      <c r="E30" s="5" t="s">
        <v>96</v>
      </c>
      <c r="F30" s="5" t="s">
        <v>97</v>
      </c>
    </row>
    <row r="31" spans="1:6" x14ac:dyDescent="0.2">
      <c r="A31" s="4" t="s">
        <v>98</v>
      </c>
      <c r="B31" s="4" t="str">
        <f t="shared" ref="B31" si="13">_xlfn.IFS(D31="Computation","Algorithm to derive "&amp;RIGHT(A31,LEN(A31)-3),D31="Imputation","Algorithm to impute "&amp;MID(A31,4,LEN(A31)-7))</f>
        <v>Algorithm to derive STRESC.STD</v>
      </c>
      <c r="C31" s="4" t="str">
        <f t="shared" ref="C31" si="14">_xlfn.IFS(D31="Computation",RIGHT(A31,LEN(A31)-3)&amp;"的计算方式",D31="Imputation",MID(A31,4,LEN(A31)-7)&amp;"的填补方式")</f>
        <v>STRESC.STD的计算方式</v>
      </c>
      <c r="D31" s="4" t="s">
        <v>11</v>
      </c>
      <c r="E31" s="5" t="s">
        <v>99</v>
      </c>
      <c r="F31" s="5" t="s">
        <v>100</v>
      </c>
    </row>
    <row r="32" spans="1:6" x14ac:dyDescent="0.2">
      <c r="A32" s="4" t="s">
        <v>101</v>
      </c>
      <c r="B32" s="4" t="str">
        <f t="shared" si="0"/>
        <v>Algorithm to derive LBSTRESC</v>
      </c>
      <c r="C32" s="4" t="str">
        <f t="shared" si="1"/>
        <v>LBSTRESC的计算方式</v>
      </c>
      <c r="D32" s="4" t="s">
        <v>11</v>
      </c>
      <c r="E32" s="5" t="s">
        <v>102</v>
      </c>
      <c r="F32" s="5" t="s">
        <v>103</v>
      </c>
    </row>
    <row r="33" spans="1:6" x14ac:dyDescent="0.2">
      <c r="A33" s="4" t="s">
        <v>104</v>
      </c>
      <c r="B33" s="4" t="str">
        <f>_xlfn.IFS(D33="Computation","Algorithm to derive "&amp;RIGHT(A33,LEN(A33)-3),D33="Imputation","Algorithm to impute "&amp;MID(A33,4,LEN(A33)-7))</f>
        <v>Algorithm to derive LBSTNRLO</v>
      </c>
      <c r="C33" s="4" t="str">
        <f>_xlfn.IFS(D33="Computation",RIGHT(A33,LEN(A33)-3)&amp;"的计算方式",D33="Imputation",MID(A33,4,LEN(A33)-7)&amp;"的填补方式")</f>
        <v>LBSTNRLO的计算方式</v>
      </c>
      <c r="D33" s="4" t="s">
        <v>11</v>
      </c>
      <c r="E33" s="5" t="s">
        <v>105</v>
      </c>
      <c r="F33" s="5" t="s">
        <v>106</v>
      </c>
    </row>
    <row r="34" spans="1:6" x14ac:dyDescent="0.2">
      <c r="A34" s="4" t="s">
        <v>107</v>
      </c>
      <c r="B34" s="4" t="str">
        <f>_xlfn.IFS(D34="Computation","Algorithm to derive "&amp;RIGHT(A34,LEN(A34)-3),D34="Imputation","Algorithm to impute "&amp;MID(A34,4,LEN(A34)-7))</f>
        <v>Algorithm to derive LBSTNRHI</v>
      </c>
      <c r="C34" s="4" t="str">
        <f>_xlfn.IFS(D34="Computation",RIGHT(A34,LEN(A34)-3)&amp;"的计算方式",D34="Imputation",MID(A34,4,LEN(A34)-7)&amp;"的填补方式")</f>
        <v>LBSTNRHI的计算方式</v>
      </c>
      <c r="D34" s="4" t="s">
        <v>11</v>
      </c>
      <c r="E34" s="5" t="s">
        <v>108</v>
      </c>
      <c r="F34" s="5" t="s">
        <v>109</v>
      </c>
    </row>
    <row r="35" spans="1:6" ht="38.25" x14ac:dyDescent="0.2">
      <c r="A35" s="4" t="s">
        <v>110</v>
      </c>
      <c r="B35" s="4" t="str">
        <f>_xlfn.IFS(D35="Computation","Algorithm to derive "&amp;RIGHT(A35,LEN(A35)-3),D35="Imputation","Algorithm to impute "&amp;MID(A35,4,LEN(A35)-7))</f>
        <v>Algorithm to derive NRIND</v>
      </c>
      <c r="C35" s="4" t="str">
        <f>_xlfn.IFS(D35="Computation",RIGHT(A35,LEN(A35)-3)&amp;"的计算方式",D35="Imputation",MID(A35,4,LEN(A35)-7)&amp;"的填补方式")</f>
        <v>NRIND的计算方式</v>
      </c>
      <c r="D35" s="4" t="s">
        <v>11</v>
      </c>
      <c r="E35" s="5" t="s">
        <v>111</v>
      </c>
      <c r="F35" s="5" t="s">
        <v>112</v>
      </c>
    </row>
    <row r="36" spans="1:6" x14ac:dyDescent="0.2">
      <c r="A36" s="4" t="s">
        <v>113</v>
      </c>
      <c r="B36" s="4" t="str">
        <f t="shared" ref="B36" si="15">_xlfn.IFS(D36="Computation","Algorithm to derive "&amp;RIGHT(A36,LEN(A36)-3),D36="Imputation","Algorithm to impute "&amp;MID(A36,4,LEN(A36)-7))</f>
        <v>Algorithm to derive IEORRES</v>
      </c>
      <c r="C36" s="4" t="str">
        <f t="shared" ref="C36" si="16">_xlfn.IFS(D36="Computation",RIGHT(A36,LEN(A36)-3)&amp;"的计算方式",D36="Imputation",MID(A36,4,LEN(A36)-7)&amp;"的填补方式")</f>
        <v>IEORRES的计算方式</v>
      </c>
      <c r="D36" s="4" t="s">
        <v>11</v>
      </c>
      <c r="E36" s="5" t="s">
        <v>114</v>
      </c>
      <c r="F36" s="5" t="s">
        <v>115</v>
      </c>
    </row>
    <row r="37" spans="1:6" x14ac:dyDescent="0.2">
      <c r="A37" s="4" t="s">
        <v>116</v>
      </c>
      <c r="B37" s="4" t="str">
        <f t="shared" ref="B37" si="17">_xlfn.IFS(D37="Computation","Algorithm to derive "&amp;RIGHT(A37,LEN(A37)-3),D37="Imputation","Algorithm to impute "&amp;MID(A37,4,LEN(A37)-7))</f>
        <v>Algorithm to derive RSDTC</v>
      </c>
      <c r="C37" s="4" t="str">
        <f>_xlfn.IFS(D37="Computation",RIGHT(A37,LEN(A37)-3)&amp;"的计算方式",D37="Imputation",MID(A37,4,LEN(A37)-7)&amp;"的填补方式")</f>
        <v>RSDTC的计算方式</v>
      </c>
      <c r="D37" s="4" t="s">
        <v>11</v>
      </c>
      <c r="E37" s="6" t="s">
        <v>117</v>
      </c>
      <c r="F37" s="6" t="s">
        <v>117</v>
      </c>
    </row>
    <row r="38" spans="1:6" ht="15.75" customHeight="1" x14ac:dyDescent="0.2">
      <c r="A38" s="4" t="s">
        <v>118</v>
      </c>
      <c r="B38" s="4" t="str">
        <f>_xlfn.IFS(D38="Computation","Algorithm to derive "&amp;RIGHT(A38,LEN(A38)-3),D38="Imputation","Algorithm to impute "&amp;MID(A38,4,LEN(A38)-7))</f>
        <v>Algorithm to derive TRT</v>
      </c>
      <c r="C38" s="4" t="str">
        <f>_xlfn.IFS(D38="Computation",RIGHT(A38,LEN(A38)-3)&amp;"的计算方式",D38="Imputation",MID(A38,4,LEN(A38)-7)&amp;"的填补方式")</f>
        <v>TRT的计算方式</v>
      </c>
      <c r="D38" s="4" t="s">
        <v>11</v>
      </c>
      <c r="E38" s="5" t="s">
        <v>119</v>
      </c>
      <c r="F38" s="5" t="s">
        <v>120</v>
      </c>
    </row>
    <row r="39" spans="1:6" x14ac:dyDescent="0.2">
      <c r="A39" s="4" t="s">
        <v>121</v>
      </c>
      <c r="B39" s="4" t="s">
        <v>122</v>
      </c>
      <c r="C39" s="4" t="s">
        <v>123</v>
      </c>
      <c r="D39" s="4" t="s">
        <v>11</v>
      </c>
      <c r="E39" s="4" t="s">
        <v>124</v>
      </c>
      <c r="F39" s="4" t="s">
        <v>125</v>
      </c>
    </row>
    <row r="40" spans="1:6" x14ac:dyDescent="0.2">
      <c r="A40" s="4" t="s">
        <v>126</v>
      </c>
      <c r="B40" s="4" t="s">
        <v>127</v>
      </c>
      <c r="C40" s="4" t="s">
        <v>128</v>
      </c>
      <c r="D40" s="4" t="s">
        <v>11</v>
      </c>
      <c r="E40" s="6" t="s">
        <v>117</v>
      </c>
      <c r="F40" s="6" t="s">
        <v>117</v>
      </c>
    </row>
    <row r="41" spans="1:6" s="9" customFormat="1" ht="25.5" x14ac:dyDescent="0.2">
      <c r="A41" s="9" t="s">
        <v>129</v>
      </c>
      <c r="B41" s="9" t="s">
        <v>130</v>
      </c>
      <c r="C41" s="9" t="s">
        <v>131</v>
      </c>
      <c r="D41" s="9" t="s">
        <v>11</v>
      </c>
      <c r="E41" s="10" t="s">
        <v>132</v>
      </c>
      <c r="F41" s="10" t="s">
        <v>133</v>
      </c>
    </row>
    <row r="42" spans="1:6" s="9" customFormat="1" x14ac:dyDescent="0.2">
      <c r="A42" s="9" t="s">
        <v>134</v>
      </c>
      <c r="B42" s="9" t="s">
        <v>135</v>
      </c>
      <c r="C42" s="9" t="s">
        <v>136</v>
      </c>
      <c r="D42" s="9" t="s">
        <v>11</v>
      </c>
      <c r="E42" s="10" t="s">
        <v>137</v>
      </c>
      <c r="F42" s="10" t="s">
        <v>138</v>
      </c>
    </row>
    <row r="43" spans="1:6" s="9" customFormat="1" x14ac:dyDescent="0.2">
      <c r="A43" s="9" t="s">
        <v>139</v>
      </c>
      <c r="B43" s="9" t="s">
        <v>140</v>
      </c>
      <c r="C43" s="9" t="s">
        <v>141</v>
      </c>
      <c r="D43" s="9" t="s">
        <v>11</v>
      </c>
      <c r="E43" s="10" t="s">
        <v>142</v>
      </c>
      <c r="F43" s="10" t="s">
        <v>143</v>
      </c>
    </row>
    <row r="44" spans="1:6" s="9" customFormat="1" x14ac:dyDescent="0.2">
      <c r="A44" s="9" t="s">
        <v>144</v>
      </c>
      <c r="B44" s="9" t="s">
        <v>145</v>
      </c>
      <c r="C44" s="9" t="s">
        <v>146</v>
      </c>
      <c r="D44" s="9" t="s">
        <v>11</v>
      </c>
      <c r="E44" s="10" t="s">
        <v>147</v>
      </c>
      <c r="F44" s="10" t="s">
        <v>148</v>
      </c>
    </row>
    <row r="45" spans="1:6" s="9" customFormat="1" x14ac:dyDescent="0.2">
      <c r="A45" s="9" t="s">
        <v>149</v>
      </c>
      <c r="B45" s="9" t="s">
        <v>150</v>
      </c>
      <c r="C45" s="9" t="s">
        <v>151</v>
      </c>
      <c r="D45" s="9" t="s">
        <v>11</v>
      </c>
      <c r="E45" s="10" t="s">
        <v>152</v>
      </c>
      <c r="F45" s="10" t="s">
        <v>153</v>
      </c>
    </row>
    <row r="46" spans="1:6" s="9" customFormat="1" x14ac:dyDescent="0.2">
      <c r="A46" s="9" t="s">
        <v>154</v>
      </c>
      <c r="B46" s="9" t="s">
        <v>155</v>
      </c>
      <c r="C46" s="9" t="s">
        <v>156</v>
      </c>
      <c r="D46" s="9" t="s">
        <v>11</v>
      </c>
      <c r="E46" s="10" t="s">
        <v>147</v>
      </c>
      <c r="F46" s="10" t="s">
        <v>148</v>
      </c>
    </row>
    <row r="47" spans="1:6" s="9" customFormat="1" x14ac:dyDescent="0.2">
      <c r="A47" s="9" t="s">
        <v>157</v>
      </c>
      <c r="B47" s="9" t="s">
        <v>158</v>
      </c>
      <c r="C47" s="9" t="s">
        <v>159</v>
      </c>
      <c r="D47" s="9" t="s">
        <v>11</v>
      </c>
      <c r="E47" s="10" t="s">
        <v>152</v>
      </c>
      <c r="F47" s="10" t="s">
        <v>153</v>
      </c>
    </row>
    <row r="48" spans="1:6" s="9" customFormat="1" x14ac:dyDescent="0.2">
      <c r="A48" s="9" t="s">
        <v>160</v>
      </c>
      <c r="B48" s="9" t="s">
        <v>161</v>
      </c>
      <c r="C48" s="9" t="s">
        <v>162</v>
      </c>
      <c r="D48" s="9" t="s">
        <v>11</v>
      </c>
      <c r="E48" s="10" t="s">
        <v>163</v>
      </c>
      <c r="F48" s="10" t="s">
        <v>164</v>
      </c>
    </row>
    <row r="49" spans="1:6" s="9" customFormat="1" ht="38.25" x14ac:dyDescent="0.2">
      <c r="A49" s="9" t="s">
        <v>68</v>
      </c>
      <c r="B49" s="9" t="s">
        <v>165</v>
      </c>
      <c r="C49" s="9" t="s">
        <v>166</v>
      </c>
      <c r="D49" s="9" t="s">
        <v>11</v>
      </c>
      <c r="E49" s="10" t="s">
        <v>167</v>
      </c>
      <c r="F49" s="10" t="s">
        <v>168</v>
      </c>
    </row>
    <row r="50" spans="1:6" s="9" customFormat="1" ht="25.5" x14ac:dyDescent="0.2">
      <c r="A50" s="9" t="s">
        <v>169</v>
      </c>
      <c r="B50" s="9" t="s">
        <v>170</v>
      </c>
      <c r="C50" s="9" t="s">
        <v>171</v>
      </c>
      <c r="D50" s="9" t="s">
        <v>11</v>
      </c>
      <c r="E50" s="10" t="s">
        <v>172</v>
      </c>
      <c r="F50" s="10" t="s">
        <v>173</v>
      </c>
    </row>
    <row r="51" spans="1:6" s="9" customFormat="1" ht="25.5" x14ac:dyDescent="0.2">
      <c r="A51" s="9" t="s">
        <v>174</v>
      </c>
      <c r="B51" s="9" t="s">
        <v>175</v>
      </c>
      <c r="C51" s="9" t="s">
        <v>176</v>
      </c>
      <c r="D51" s="9" t="s">
        <v>11</v>
      </c>
      <c r="E51" s="10" t="s">
        <v>177</v>
      </c>
      <c r="F51" s="10" t="s">
        <v>178</v>
      </c>
    </row>
    <row r="52" spans="1:6" s="9" customFormat="1" x14ac:dyDescent="0.2">
      <c r="E52" s="10"/>
      <c r="F52" s="10"/>
    </row>
  </sheetData>
  <autoFilter ref="A1:J40" xr:uid="{00000000-0009-0000-0000-000000000000}"/>
  <phoneticPr fontId="2" type="noConversion"/>
  <dataValidations xWindow="881" yWindow="468" count="2">
    <dataValidation type="list" allowBlank="1" showInputMessage="1" showErrorMessage="1" sqref="D2:D38 D40:D1048576" xr:uid="{00000000-0002-0000-0000-000000000000}">
      <formula1>"Computation, Imputation"</formula1>
    </dataValidation>
    <dataValidation type="list" allowBlank="1" showInputMessage="1" showErrorMessage="1" sqref="H2:H38 H40:H1048576" xr:uid="{00000000-0002-0000-0000-000001000000}">
      <formula1>"PhysicalRef, NamedDestination"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tatus xmlns="http://schemas.microsoft.com/sharepoint/v3/fields">Not Applicable</_Statu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5E067757598BE04AA3314E40B7BCB194" ma:contentTypeVersion="3" ma:contentTypeDescription="新建文档。" ma:contentTypeScope="" ma:versionID="da464ab68671ff7847b581c609a9791c">
  <xsd:schema xmlns:xsd="http://www.w3.org/2001/XMLSchema" xmlns:xs="http://www.w3.org/2001/XMLSchema" xmlns:p="http://schemas.microsoft.com/office/2006/metadata/properties" xmlns:ns2="162221cc-14d1-45da-bf96-fb7ece7de15a" xmlns:ns3="http://schemas.microsoft.com/sharepoint/v3/fields" targetNamespace="http://schemas.microsoft.com/office/2006/metadata/properties" ma:root="true" ma:fieldsID="b2060ab3e73c495ad85e1301f67a4c96" ns2:_="" ns3:_="">
    <xsd:import namespace="162221cc-14d1-45da-bf96-fb7ece7de15a"/>
    <xsd:import namespace="http://schemas.microsoft.com/sharepoint/v3/fields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_Status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2221cc-14d1-45da-bf96-fb7ece7de15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Status" ma:index="10" ma:displayName="状态" ma:default="Not Applicable" ma:format="RadioButtons" ma:internalName="_Status">
      <xsd:simpleType>
        <xsd:restriction base="dms:Choice">
          <xsd:enumeration value="Not Applicable"/>
          <xsd:enumeration value="Draft"/>
          <xsd:enumeration value="Active"/>
          <xsd:enumeration value="Expired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axOccurs="1" ma:displayName="状态">
          <xsd:simpleType xmlns:xs="http://www.w3.org/2001/XMLSchema">
            <xsd:restriction base="xsd:string">
              <xsd:minLength value="1"/>
            </xsd:restriction>
          </xsd:simpleType>
        </xsd:element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856CD9-966C-4D29-8917-4DEBE9FCC25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2634A21-0C72-4152-9D53-108BC1B5BD82}">
  <ds:schemaRefs>
    <ds:schemaRef ds:uri="http://schemas.microsoft.com/office/2006/metadata/properties"/>
    <ds:schemaRef ds:uri="http://schemas.microsoft.com/office/infopath/2007/PartnerControls"/>
    <ds:schemaRef ds:uri="http://schemas.microsoft.com/sharepoint/v3/fields"/>
  </ds:schemaRefs>
</ds:datastoreItem>
</file>

<file path=customXml/itemProps3.xml><?xml version="1.0" encoding="utf-8"?>
<ds:datastoreItem xmlns:ds="http://schemas.openxmlformats.org/officeDocument/2006/customXml" ds:itemID="{161CF150-4C35-4BD7-AD66-680D5BBA7A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Methods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顾海华</dc:creator>
  <cp:keywords/>
  <dc:description/>
  <cp:lastModifiedBy>Ying Liu~R&amp;D (liuy35) [刘莹]</cp:lastModifiedBy>
  <cp:revision/>
  <dcterms:created xsi:type="dcterms:W3CDTF">2018-07-13T08:25:08Z</dcterms:created>
  <dcterms:modified xsi:type="dcterms:W3CDTF">2025-01-24T08:14:07Z</dcterms:modified>
  <cp:category/>
  <cp:contentStatus>Active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0x0101005E067757598BE04AA3314E40B7BCB194</vt:lpwstr>
  </property>
</Properties>
</file>