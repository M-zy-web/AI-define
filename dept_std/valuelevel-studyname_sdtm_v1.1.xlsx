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https://sharepoint.sha.hengrui.com/sites/TaskForce/eSubmission Package/04_define/01_define_metadata/"/>
    </mc:Choice>
  </mc:AlternateContent>
  <xr:revisionPtr revIDLastSave="0" documentId="13_ncr:1_{738958E8-4108-44A7-BAB4-57F1D7C31857}" xr6:coauthVersionLast="36" xr6:coauthVersionMax="36" xr10:uidLastSave="{00000000-0000-0000-0000-000000000000}"/>
  <bookViews>
    <workbookView xWindow="0" yWindow="0" windowWidth="19200" windowHeight="6285" xr2:uid="{00000000-000D-0000-FFFF-FFFF00000000}"/>
  </bookViews>
  <sheets>
    <sheet name="VLM" sheetId="1" r:id="rId1"/>
    <sheet name="WhereClause" sheetId="3" r:id="rId2"/>
  </sheets>
  <definedNames>
    <definedName name="_xlnm._FilterDatabase" localSheetId="0" hidden="1">VLM!$1:$1048576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3" l="1"/>
  <c r="E5" i="3"/>
  <c r="F5" i="3"/>
  <c r="E6" i="1"/>
  <c r="B22" i="3"/>
  <c r="E22" i="3"/>
  <c r="F22" i="3"/>
  <c r="B23" i="3"/>
  <c r="E23" i="3"/>
  <c r="F23" i="3"/>
  <c r="E23" i="1"/>
  <c r="E24" i="1"/>
  <c r="B18" i="3"/>
  <c r="E18" i="3"/>
  <c r="F18" i="3"/>
  <c r="B19" i="3"/>
  <c r="E19" i="3"/>
  <c r="F19" i="3"/>
  <c r="B20" i="3"/>
  <c r="E20" i="3"/>
  <c r="F20" i="3"/>
  <c r="B21" i="3"/>
  <c r="E21" i="3"/>
  <c r="F21" i="3"/>
  <c r="E20" i="1"/>
  <c r="E21" i="1"/>
  <c r="E22" i="1"/>
  <c r="E19" i="1"/>
  <c r="E16" i="3"/>
  <c r="F16" i="3"/>
  <c r="E4" i="3"/>
  <c r="F4" i="3"/>
  <c r="B16" i="3"/>
  <c r="B4" i="3"/>
  <c r="E17" i="1"/>
  <c r="E5" i="1"/>
  <c r="E4" i="1"/>
  <c r="F2" i="3"/>
  <c r="E2" i="3"/>
  <c r="B2" i="3"/>
  <c r="E2" i="1"/>
  <c r="B6" i="3"/>
  <c r="E6" i="3"/>
  <c r="F6" i="3"/>
  <c r="B7" i="3"/>
  <c r="E7" i="3"/>
  <c r="F7" i="3"/>
  <c r="B8" i="3"/>
  <c r="E8" i="3"/>
  <c r="F8" i="3"/>
  <c r="B9" i="3"/>
  <c r="E9" i="3"/>
  <c r="F9" i="3"/>
  <c r="B10" i="3"/>
  <c r="E10" i="3"/>
  <c r="F10" i="3"/>
  <c r="B11" i="3"/>
  <c r="E11" i="3"/>
  <c r="F11" i="3"/>
  <c r="B12" i="3"/>
  <c r="E12" i="3"/>
  <c r="F12" i="3"/>
  <c r="B13" i="3"/>
  <c r="E13" i="3"/>
  <c r="F13" i="3"/>
  <c r="B14" i="3"/>
  <c r="E14" i="3"/>
  <c r="F14" i="3"/>
  <c r="B15" i="3"/>
  <c r="E15" i="3"/>
  <c r="F15" i="3"/>
  <c r="B17" i="3"/>
  <c r="E17" i="3"/>
  <c r="F17" i="3"/>
  <c r="E7" i="1"/>
  <c r="E8" i="1"/>
  <c r="E9" i="1"/>
  <c r="E10" i="1"/>
  <c r="E11" i="1"/>
  <c r="E12" i="1"/>
  <c r="E13" i="1"/>
  <c r="E14" i="1"/>
  <c r="E15" i="1"/>
  <c r="E16" i="1"/>
  <c r="E18" i="1"/>
  <c r="B68" i="3"/>
  <c r="E68" i="3"/>
  <c r="F68" i="3"/>
  <c r="E68" i="1"/>
  <c r="B62" i="3"/>
  <c r="E62" i="3"/>
  <c r="F62" i="3"/>
  <c r="B63" i="3"/>
  <c r="E63" i="3"/>
  <c r="F63" i="3"/>
  <c r="E65" i="1"/>
  <c r="E64" i="1"/>
  <c r="B55" i="3"/>
  <c r="E55" i="3"/>
  <c r="F55" i="3"/>
  <c r="E55" i="1"/>
  <c r="B48" i="3"/>
  <c r="E48" i="3"/>
  <c r="F48" i="3"/>
  <c r="E48" i="1"/>
  <c r="B45" i="3"/>
  <c r="E45" i="3"/>
  <c r="F45" i="3"/>
  <c r="E45" i="1"/>
  <c r="B42" i="3"/>
  <c r="E42" i="3"/>
  <c r="F42" i="3"/>
  <c r="E42" i="1"/>
  <c r="B28" i="3"/>
  <c r="E28" i="3"/>
  <c r="F28" i="3"/>
  <c r="B29" i="3"/>
  <c r="E29" i="3"/>
  <c r="F29" i="3"/>
  <c r="B30" i="3"/>
  <c r="E30" i="3"/>
  <c r="F30" i="3"/>
  <c r="E30" i="1"/>
  <c r="E28" i="1"/>
  <c r="B26" i="3"/>
  <c r="B27" i="3"/>
  <c r="B31" i="3"/>
  <c r="B32" i="3"/>
  <c r="B33" i="3"/>
  <c r="B34" i="3"/>
  <c r="B35" i="3"/>
  <c r="B36" i="3"/>
  <c r="B37" i="3"/>
  <c r="B38" i="3"/>
  <c r="B39" i="3"/>
  <c r="B40" i="3"/>
  <c r="B41" i="3"/>
  <c r="B43" i="3"/>
  <c r="B44" i="3"/>
  <c r="B46" i="3"/>
  <c r="B47" i="3"/>
  <c r="B49" i="3"/>
  <c r="B50" i="3"/>
  <c r="B51" i="3"/>
  <c r="B52" i="3"/>
  <c r="B53" i="3"/>
  <c r="B54" i="3"/>
  <c r="B57" i="3"/>
  <c r="B56" i="3"/>
  <c r="B58" i="3"/>
  <c r="B59" i="3"/>
  <c r="B60" i="3"/>
  <c r="B61" i="3"/>
  <c r="B64" i="3"/>
  <c r="B65" i="3"/>
  <c r="B66" i="3"/>
  <c r="B67" i="3"/>
  <c r="B69" i="3"/>
  <c r="B70" i="3"/>
  <c r="B71" i="3"/>
  <c r="B72" i="3"/>
  <c r="B73" i="3"/>
  <c r="B74" i="3"/>
  <c r="B75" i="3"/>
  <c r="B25" i="3"/>
  <c r="E26" i="3"/>
  <c r="F26" i="3"/>
  <c r="E27" i="3"/>
  <c r="F27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3" i="3"/>
  <c r="F43" i="3"/>
  <c r="E44" i="3"/>
  <c r="F44" i="3"/>
  <c r="E46" i="3"/>
  <c r="F46" i="3"/>
  <c r="E47" i="3"/>
  <c r="F47" i="3"/>
  <c r="E49" i="3"/>
  <c r="F49" i="3"/>
  <c r="E50" i="3"/>
  <c r="F50" i="3"/>
  <c r="E51" i="3"/>
  <c r="F51" i="3"/>
  <c r="E52" i="3"/>
  <c r="F52" i="3"/>
  <c r="E53" i="3"/>
  <c r="F53" i="3"/>
  <c r="E54" i="3"/>
  <c r="F54" i="3"/>
  <c r="E57" i="3"/>
  <c r="F57" i="3"/>
  <c r="E56" i="3"/>
  <c r="F56" i="3"/>
  <c r="E58" i="3"/>
  <c r="F58" i="3"/>
  <c r="E59" i="3"/>
  <c r="F59" i="3"/>
  <c r="E60" i="3"/>
  <c r="F60" i="3"/>
  <c r="E61" i="3"/>
  <c r="F61" i="3"/>
  <c r="E64" i="3"/>
  <c r="F64" i="3"/>
  <c r="E65" i="3"/>
  <c r="F65" i="3"/>
  <c r="E66" i="3"/>
  <c r="F66" i="3"/>
  <c r="E67" i="3"/>
  <c r="F67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F25" i="3"/>
  <c r="E25" i="3"/>
  <c r="B3" i="3"/>
  <c r="F3" i="3"/>
  <c r="E3" i="3"/>
  <c r="E26" i="1"/>
  <c r="E27" i="1"/>
  <c r="E29" i="1"/>
  <c r="E31" i="1"/>
  <c r="E32" i="1"/>
  <c r="E33" i="1"/>
  <c r="E34" i="1"/>
  <c r="E35" i="1"/>
  <c r="E36" i="1"/>
  <c r="E37" i="1"/>
  <c r="E38" i="1"/>
  <c r="E39" i="1"/>
  <c r="E40" i="1"/>
  <c r="E41" i="1"/>
  <c r="E43" i="1"/>
  <c r="E44" i="1"/>
  <c r="E46" i="1"/>
  <c r="E47" i="1"/>
  <c r="E49" i="1"/>
  <c r="E50" i="1"/>
  <c r="E51" i="1"/>
  <c r="E52" i="1"/>
  <c r="E53" i="1"/>
  <c r="E54" i="1"/>
  <c r="E57" i="1"/>
  <c r="E56" i="1"/>
  <c r="E60" i="1"/>
  <c r="E61" i="1"/>
  <c r="E62" i="1"/>
  <c r="E63" i="1"/>
  <c r="E66" i="1"/>
  <c r="E59" i="1"/>
  <c r="E58" i="1"/>
  <c r="E67" i="1"/>
  <c r="E69" i="1"/>
  <c r="E71" i="1"/>
  <c r="E72" i="1"/>
  <c r="E73" i="1"/>
  <c r="E74" i="1"/>
  <c r="E70" i="1"/>
  <c r="E75" i="1"/>
  <c r="E25" i="1"/>
  <c r="E3" i="1"/>
</calcChain>
</file>

<file path=xl/sharedStrings.xml><?xml version="1.0" encoding="utf-8"?>
<sst xmlns="http://schemas.openxmlformats.org/spreadsheetml/2006/main" count="1695" uniqueCount="518">
  <si>
    <t>VLMOID</t>
    <phoneticPr fontId="6" type="noConversion"/>
  </si>
  <si>
    <t>ItemOID</t>
    <phoneticPr fontId="6" type="noConversion"/>
  </si>
  <si>
    <t>OrderNumber</t>
  </si>
  <si>
    <t>Mandatory</t>
    <phoneticPr fontId="6" type="noConversion"/>
  </si>
  <si>
    <t>WhereClauseOID</t>
    <phoneticPr fontId="6" type="noConversion"/>
  </si>
  <si>
    <t xml:space="preserve">MethodOID </t>
    <phoneticPr fontId="6" type="noConversion"/>
  </si>
  <si>
    <t>VariableName</t>
    <phoneticPr fontId="6" type="noConversion"/>
  </si>
  <si>
    <t>XMLDataType</t>
  </si>
  <si>
    <t>Length</t>
  </si>
  <si>
    <t>Origin</t>
    <phoneticPr fontId="6" type="noConversion"/>
  </si>
  <si>
    <t>CRF Page</t>
    <phoneticPr fontId="6" type="noConversion"/>
  </si>
  <si>
    <t>Source</t>
    <phoneticPr fontId="6" type="noConversion"/>
  </si>
  <si>
    <t>Study Derivation</t>
    <phoneticPr fontId="6" type="noConversion"/>
  </si>
  <si>
    <t>CodeListName</t>
    <phoneticPr fontId="6" type="noConversion"/>
  </si>
  <si>
    <t>SignificantDigits</t>
  </si>
  <si>
    <t>DisplayFormat</t>
  </si>
  <si>
    <t>Description</t>
    <phoneticPr fontId="6" type="noConversion"/>
  </si>
  <si>
    <t>DescriptionCN</t>
    <phoneticPr fontId="6" type="noConversion"/>
  </si>
  <si>
    <t>&lt;StudyNumber&gt;</t>
  </si>
  <si>
    <t>VL.SUPPDC.QVAL</t>
    <phoneticPr fontId="6" type="noConversion"/>
  </si>
  <si>
    <t>IT.SUPPDC.QVAL.CETHNIC</t>
  </si>
  <si>
    <t>1</t>
    <phoneticPr fontId="6" type="noConversion"/>
  </si>
  <si>
    <t>No</t>
    <phoneticPr fontId="6" type="noConversion"/>
  </si>
  <si>
    <t>QVAL</t>
  </si>
  <si>
    <t>text</t>
    <phoneticPr fontId="6" type="noConversion"/>
  </si>
  <si>
    <t>Collected</t>
  </si>
  <si>
    <t>Investigator</t>
  </si>
  <si>
    <t>ETHNICC</t>
  </si>
  <si>
    <t>VL.SUPPDM.QVAL</t>
    <phoneticPr fontId="6" type="noConversion"/>
  </si>
  <si>
    <t>IT.SUPPDM.QVAL.CETHNIC</t>
  </si>
  <si>
    <t>Predecessor</t>
  </si>
  <si>
    <t>SUPPDC.QVAL where QNAM = 'CETHNIC'</t>
    <phoneticPr fontId="6" type="noConversion"/>
  </si>
  <si>
    <t>VL.SUPPCM.QVAL</t>
    <phoneticPr fontId="6" type="noConversion"/>
  </si>
  <si>
    <t>IT.SUPPCM.QVAL.CMRGMTR</t>
  </si>
  <si>
    <t>1</t>
  </si>
  <si>
    <t>IT.SUPPCM.QVAL.CMPTCD</t>
  </si>
  <si>
    <t>Assigned</t>
  </si>
  <si>
    <t>Sponsor</t>
  </si>
  <si>
    <t>DRUGDICT</t>
  </si>
  <si>
    <t>IT.SUPPCM.QVAL.ATCCD</t>
  </si>
  <si>
    <t>2</t>
  </si>
  <si>
    <t>IT.SUPPCM.QVAL.ATC</t>
  </si>
  <si>
    <t>3</t>
  </si>
  <si>
    <t>IT.SUPPCM.QVAL.ATC1CD</t>
  </si>
  <si>
    <t>4</t>
  </si>
  <si>
    <t>IT.SUPPCM.QVAL.ATC1</t>
  </si>
  <si>
    <t>5</t>
  </si>
  <si>
    <t>IT.SUPPCM.QVAL.ATC2CD</t>
  </si>
  <si>
    <t>6</t>
  </si>
  <si>
    <t>IT.SUPPCM.QVAL.ATC2</t>
  </si>
  <si>
    <t>7</t>
  </si>
  <si>
    <t>IT.SUPPCM.QVAL.ATC3CD</t>
  </si>
  <si>
    <t>8</t>
  </si>
  <si>
    <t>IT.SUPPCM.QVAL.ATC3</t>
  </si>
  <si>
    <t>9</t>
  </si>
  <si>
    <t>IT.SUPPCM.QVAL.ATC4CD</t>
  </si>
  <si>
    <t>10</t>
  </si>
  <si>
    <t>IT.SUPPCM.QVAL.ATC4</t>
  </si>
  <si>
    <t>11</t>
  </si>
  <si>
    <t>IT.SUPPCM.QVAL.DICTNAME</t>
  </si>
  <si>
    <t>12</t>
  </si>
  <si>
    <t>IT.SUPPCM.QVAL.DICTVER</t>
  </si>
  <si>
    <t>13</t>
  </si>
  <si>
    <t>VL.SUPPAE.QVAL</t>
  </si>
  <si>
    <t>IT.SUPPAE.QVAL.DICTNAME</t>
  </si>
  <si>
    <t>IT.SUPPAE.QVAL.DICTVER</t>
  </si>
  <si>
    <t>IT.SUPPAE.QVAL.AETRTEM</t>
  </si>
  <si>
    <t>MT.AETRTEM</t>
  </si>
  <si>
    <t>Derived</t>
  </si>
  <si>
    <t>NY_NY</t>
  </si>
  <si>
    <t>IT.SUPPAE.QVAL.AESOSP</t>
  </si>
  <si>
    <t>VL.SUPPMH.QVAL</t>
  </si>
  <si>
    <t>IT.SUPPMH.QVAL.DICTNAME</t>
  </si>
  <si>
    <t>IT.SUPPMH.QVAL.DICTVER</t>
  </si>
  <si>
    <t>VL.TS.TSVAL</t>
  </si>
  <si>
    <t>IT.TS.TSVAL.ACTSUB</t>
  </si>
  <si>
    <t>No</t>
  </si>
  <si>
    <t>TSVAL</t>
  </si>
  <si>
    <t>integer</t>
  </si>
  <si>
    <t>Protocol</t>
  </si>
  <si>
    <t>Actual Number of Subjects</t>
  </si>
  <si>
    <t>IT.TS.TSVAL.ADAPT</t>
  </si>
  <si>
    <t>text</t>
  </si>
  <si>
    <t>NY_N</t>
  </si>
  <si>
    <t>Adaptive Design</t>
  </si>
  <si>
    <t>IT.TS.TSVAL.ADDON</t>
  </si>
  <si>
    <t>Added on to Existing Treatments</t>
  </si>
  <si>
    <t>IT.TS.TSVAL.AGEMAX</t>
    <phoneticPr fontId="6" type="noConversion"/>
  </si>
  <si>
    <t>Planned Maximum Age of Subjects</t>
  </si>
  <si>
    <t>IT.TS.TSVAL.AGEMIN</t>
  </si>
  <si>
    <t>Planned Minimum Age of Subjects</t>
  </si>
  <si>
    <t>IT.TS.TSVAL.COMPTRT</t>
    <phoneticPr fontId="6" type="noConversion"/>
  </si>
  <si>
    <t>Comparative Treatment Name</t>
  </si>
  <si>
    <t>IT.TS.TSVAL.CURTRT</t>
  </si>
  <si>
    <t>Current Therapy or Treatment</t>
  </si>
  <si>
    <t>IT.TS.TSVAL.DCUTDESC</t>
  </si>
  <si>
    <t>Data Cutoff Description</t>
  </si>
  <si>
    <t>IT.TS.TSVAL.DCUTDTC</t>
  </si>
  <si>
    <t>date</t>
  </si>
  <si>
    <t>ISO 8601</t>
  </si>
  <si>
    <t>Data Cutoff Date</t>
  </si>
  <si>
    <t>IT.TS.TSVAL.EXTTIND</t>
  </si>
  <si>
    <t>Extension Trial Indicator</t>
  </si>
  <si>
    <t>IT.TS.TSVAL.FCNTRY</t>
  </si>
  <si>
    <t>ISO3166</t>
  </si>
  <si>
    <t>Planned Country of Investigational Sites</t>
  </si>
  <si>
    <t>IT.TS.TSVAL.HLTSUBJI</t>
  </si>
  <si>
    <t>Healthy Subject Indicator</t>
  </si>
  <si>
    <t>IT.TS.TSVAL.INDIC</t>
  </si>
  <si>
    <t>Trial Disease/Condition Indication</t>
  </si>
  <si>
    <t>IT.TS.TSVAL.INTMODEL</t>
  </si>
  <si>
    <t>14</t>
  </si>
  <si>
    <t>INTMODEL</t>
  </si>
  <si>
    <t>Intervention Model</t>
  </si>
  <si>
    <t>IT.TS.TSVAL.INTTYPE</t>
  </si>
  <si>
    <t>15</t>
  </si>
  <si>
    <t>INTTYPE</t>
  </si>
  <si>
    <t>Intervention Type</t>
  </si>
  <si>
    <t>IT.TS.TSVAL.LENGTH</t>
  </si>
  <si>
    <t>16</t>
  </si>
  <si>
    <t>Trial Length</t>
  </si>
  <si>
    <t>IT.TS.TSVAL.NARMS</t>
  </si>
  <si>
    <t>17</t>
  </si>
  <si>
    <t>Planned Number of Arms</t>
  </si>
  <si>
    <t>IT.TS.TSVAL.NCOHORT</t>
    <phoneticPr fontId="6" type="noConversion"/>
  </si>
  <si>
    <t>18</t>
  </si>
  <si>
    <t>Number of Groups/Cohorts</t>
  </si>
  <si>
    <t>IT.TS.TSVAL.OBJPRIM</t>
  </si>
  <si>
    <t>19</t>
  </si>
  <si>
    <t>Trial Primary Objective</t>
  </si>
  <si>
    <t>IT.TS.TSVAL.OBJSEC</t>
  </si>
  <si>
    <t>20</t>
  </si>
  <si>
    <t>Trial Secondary Objective</t>
  </si>
  <si>
    <t>IT.TS.TSVAL.OBJEXP</t>
    <phoneticPr fontId="6" type="noConversion"/>
  </si>
  <si>
    <t>21</t>
  </si>
  <si>
    <t>Trial Exploratory Objective</t>
  </si>
  <si>
    <t>IT.TS.TSVAL.OUTMSPRI</t>
  </si>
  <si>
    <t>22</t>
  </si>
  <si>
    <t>Primary Outcome Measure</t>
  </si>
  <si>
    <t>IT.TS.TSVAL.OUTMSSEC</t>
  </si>
  <si>
    <t>23</t>
  </si>
  <si>
    <t>Secondary Outcome Measure</t>
  </si>
  <si>
    <t>IT.TS.TSVAL.OUTMSEXP</t>
    <phoneticPr fontId="6" type="noConversion"/>
  </si>
  <si>
    <t>24</t>
  </si>
  <si>
    <t>Exploratory Outcome Measure</t>
  </si>
  <si>
    <t>IT.TS.TSVAL.PCLAS</t>
  </si>
  <si>
    <t>25</t>
  </si>
  <si>
    <t>Pharmacologic Class</t>
  </si>
  <si>
    <t>IT.TS.TSVAL.PLANSUB</t>
  </si>
  <si>
    <t>26</t>
  </si>
  <si>
    <t>Planned Number of Subjects</t>
  </si>
  <si>
    <t>IT.TS.TSVAL.PDPSTIND</t>
  </si>
  <si>
    <t>27</t>
  </si>
  <si>
    <t>Pediatric Postmarket Study Indicator</t>
  </si>
  <si>
    <t>IT.TS.TSVAL.PDSTIND</t>
  </si>
  <si>
    <t>28</t>
  </si>
  <si>
    <t>Pediatric Study Indicator</t>
  </si>
  <si>
    <t>IT.TS.TSVAL.PIPIND</t>
  </si>
  <si>
    <t>29</t>
  </si>
  <si>
    <t>Pediatric Investigation Plan Indicator</t>
  </si>
  <si>
    <t>IT.TS.TSVAL.RANDOM</t>
  </si>
  <si>
    <t>30</t>
  </si>
  <si>
    <t>Trial is Randomized</t>
  </si>
  <si>
    <t>IT.TS.TSVAL.RANDQT</t>
    <phoneticPr fontId="6" type="noConversion"/>
  </si>
  <si>
    <t>31</t>
  </si>
  <si>
    <t>integer</t>
    <phoneticPr fontId="6" type="noConversion"/>
  </si>
  <si>
    <t>Randomization Quotient</t>
  </si>
  <si>
    <t>IT.TS.TSVAL.RDIND</t>
  </si>
  <si>
    <t>32</t>
  </si>
  <si>
    <t>Rare Disease Indicator</t>
  </si>
  <si>
    <t>IT.TS.TSVAL.REGID</t>
  </si>
  <si>
    <t>33</t>
  </si>
  <si>
    <t>Registry Identifier</t>
  </si>
  <si>
    <t>IT.TS.TSVAL.SDTIGVER</t>
  </si>
  <si>
    <t>34</t>
  </si>
  <si>
    <t>float</t>
  </si>
  <si>
    <t>SDTM IG Version</t>
  </si>
  <si>
    <t>IT.TS.TSVAL.SDTMVER</t>
  </si>
  <si>
    <t>35</t>
  </si>
  <si>
    <t>SDTM Version</t>
  </si>
  <si>
    <t>IT.TS.TSVAL.SENDTC</t>
  </si>
  <si>
    <t>36</t>
  </si>
  <si>
    <t>Study End Date</t>
  </si>
  <si>
    <t>IT.TS.TSVAL.SEXPOP</t>
  </si>
  <si>
    <t>37</t>
  </si>
  <si>
    <t>SEXPOP</t>
  </si>
  <si>
    <t>Sex of Participants</t>
  </si>
  <si>
    <t>IT.TS.TSVAL.SPONSOR</t>
  </si>
  <si>
    <t>38</t>
  </si>
  <si>
    <t>Clinical Study Sponsor</t>
  </si>
  <si>
    <t>IT.TS.TSVAL.SSTDTC</t>
  </si>
  <si>
    <t>39</t>
  </si>
  <si>
    <t>Study Start Date</t>
  </si>
  <si>
    <t>IT.TS.TSVAL.STOPRULE</t>
    <phoneticPr fontId="6" type="noConversion"/>
  </si>
  <si>
    <t>40</t>
  </si>
  <si>
    <t>Study Stop Rules</t>
  </si>
  <si>
    <t>IT.TS.TSVAL.STRATFCT</t>
    <phoneticPr fontId="6" type="noConversion"/>
  </si>
  <si>
    <t>41</t>
  </si>
  <si>
    <t>Stratification Factor</t>
  </si>
  <si>
    <t>IT.TS.TSVAL.STYPE</t>
  </si>
  <si>
    <t>42</t>
  </si>
  <si>
    <t>STYPE</t>
  </si>
  <si>
    <t>Study Type</t>
  </si>
  <si>
    <t>IT.TS.TSVAL.TBLIND</t>
  </si>
  <si>
    <t>43</t>
  </si>
  <si>
    <t>TBLIND</t>
  </si>
  <si>
    <t>Trial Blinding Schema</t>
  </si>
  <si>
    <t>IT.TS.TSVAL.TCNTRL</t>
    <phoneticPr fontId="6" type="noConversion"/>
  </si>
  <si>
    <t>44</t>
  </si>
  <si>
    <t>TCNTRL</t>
    <phoneticPr fontId="6" type="noConversion"/>
  </si>
  <si>
    <t>Control Type</t>
  </si>
  <si>
    <t>IT.TS.TSVAL.TDIGRP</t>
  </si>
  <si>
    <t>45</t>
  </si>
  <si>
    <t>Diagnosis Group</t>
  </si>
  <si>
    <t>IT.TS.TSVAL.THERAREA</t>
  </si>
  <si>
    <t>46</t>
  </si>
  <si>
    <t>Therapeutic Area</t>
  </si>
  <si>
    <t>IT.TS.TSVAL.TINDTP</t>
  </si>
  <si>
    <t>47</t>
  </si>
  <si>
    <t>TINDTP</t>
  </si>
  <si>
    <t>Trial Intent Type</t>
  </si>
  <si>
    <t>IT.TS.TSVAL.TITLE</t>
  </si>
  <si>
    <t>48</t>
  </si>
  <si>
    <t>Trial Title</t>
  </si>
  <si>
    <t>IT.TS.TSVAL.TPHASE</t>
  </si>
  <si>
    <t>49</t>
  </si>
  <si>
    <t>TPHASE</t>
  </si>
  <si>
    <t>Trial Phase Classification</t>
  </si>
  <si>
    <t>IT.TS.TSVAL.TRT</t>
  </si>
  <si>
    <t>50</t>
  </si>
  <si>
    <t>Investigational Therapy or Treatment</t>
  </si>
  <si>
    <t>IT.TS.TSVAL.TTYPE</t>
  </si>
  <si>
    <t>51</t>
  </si>
  <si>
    <t>TTYPE</t>
  </si>
  <si>
    <t>Trial Type</t>
  </si>
  <si>
    <t>VL.DS.DSDECOD</t>
    <phoneticPr fontId="6" type="noConversion"/>
  </si>
  <si>
    <t>IT.DS.DSDECOD.PMST</t>
    <phoneticPr fontId="6" type="noConversion"/>
  </si>
  <si>
    <t>WC.DS.DSCAT.PMST</t>
    <phoneticPr fontId="6" type="noConversion"/>
  </si>
  <si>
    <t>DSDECOD</t>
    <phoneticPr fontId="6" type="noConversion"/>
  </si>
  <si>
    <t>PROTMLST</t>
    <phoneticPr fontId="6" type="noConversion"/>
  </si>
  <si>
    <t>Standardized Disposition Term - Protocol Milestone</t>
    <phoneticPr fontId="6" type="noConversion"/>
  </si>
  <si>
    <t>标准化分布事件术语 - 方案里程碑</t>
    <phoneticPr fontId="6" type="noConversion"/>
  </si>
  <si>
    <t>IT.DS.DSDECOD.COMP</t>
    <phoneticPr fontId="6" type="noConversion"/>
  </si>
  <si>
    <t>2</t>
    <phoneticPr fontId="6" type="noConversion"/>
  </si>
  <si>
    <t>WC.DS.DSCAT.COMP</t>
    <phoneticPr fontId="6" type="noConversion"/>
  </si>
  <si>
    <t>NCOMPLT</t>
    <phoneticPr fontId="6" type="noConversion"/>
  </si>
  <si>
    <t>Standardized Disposition Term - Disposition Event</t>
    <phoneticPr fontId="6" type="noConversion"/>
  </si>
  <si>
    <t>标准化分布事件术语 - 受试者分布事件</t>
    <phoneticPr fontId="6" type="noConversion"/>
  </si>
  <si>
    <t>VL.RS.RSCAT</t>
  </si>
  <si>
    <t>IT.RS.RSCAT.ONCRSCAT</t>
    <phoneticPr fontId="6" type="noConversion"/>
  </si>
  <si>
    <t>WC.RS.RSCAT.ONCRSCAT.RSCAT</t>
  </si>
  <si>
    <t>RSCAT</t>
  </si>
  <si>
    <t>ONCRSCAT</t>
    <phoneticPr fontId="6" type="noConversion"/>
  </si>
  <si>
    <t>Category for Assessment - Oncology Response</t>
    <phoneticPr fontId="6" type="noConversion"/>
  </si>
  <si>
    <t>评估的类别 - 肿瘤反应</t>
    <phoneticPr fontId="6" type="noConversion"/>
  </si>
  <si>
    <t>IT.RS.RSCAT.CCCAT</t>
    <phoneticPr fontId="6" type="noConversion"/>
  </si>
  <si>
    <t>WC.RS.RSCAT.CCCAT.RSCAT</t>
  </si>
  <si>
    <t>RSCAT</t>
    <phoneticPr fontId="6" type="noConversion"/>
  </si>
  <si>
    <t>CCCAT</t>
    <phoneticPr fontId="6" type="noConversion"/>
  </si>
  <si>
    <t>Category for Assessment - Clinical Classification</t>
  </si>
  <si>
    <t>评估的类别 - 临床状态</t>
    <phoneticPr fontId="6" type="noConversion"/>
  </si>
  <si>
    <t>VL.RS.RSTESTCD</t>
  </si>
  <si>
    <t>IT.RS.RSTESTCD.ONCRSCAT</t>
    <phoneticPr fontId="6" type="noConversion"/>
  </si>
  <si>
    <t>WC.RS.RSCAT.ONCRSCAT.RSTESTCD</t>
  </si>
  <si>
    <t>RSTESTCD</t>
  </si>
  <si>
    <t>ONCRTSCD</t>
    <phoneticPr fontId="6" type="noConversion"/>
  </si>
  <si>
    <t>Assessment Short Name - Oncology Response</t>
    <phoneticPr fontId="6" type="noConversion"/>
  </si>
  <si>
    <t>评估简称 - 肿瘤反应</t>
  </si>
  <si>
    <t>IT.RS.RSTESTCD.CCCAT</t>
    <phoneticPr fontId="6" type="noConversion"/>
  </si>
  <si>
    <t>WC.RS.RSCAT.CCCAT.RSTESTCD</t>
  </si>
  <si>
    <t>RSTESTCD</t>
    <phoneticPr fontId="6" type="noConversion"/>
  </si>
  <si>
    <t>ECOG1TC</t>
    <phoneticPr fontId="6" type="noConversion"/>
  </si>
  <si>
    <t>Assessment Short Name - Clinical Classification</t>
    <phoneticPr fontId="6" type="noConversion"/>
  </si>
  <si>
    <t>评估简称 - 临床状态</t>
  </si>
  <si>
    <t>VL.RS.RSTEST</t>
  </si>
  <si>
    <t>IT.RS.RSTEST.ONCRSCAT</t>
    <phoneticPr fontId="6" type="noConversion"/>
  </si>
  <si>
    <t>WC.RS.RSCAT.ONCRSCAT.RSTEST</t>
  </si>
  <si>
    <t>RSTEST</t>
  </si>
  <si>
    <t>ONCRTS</t>
    <phoneticPr fontId="6" type="noConversion"/>
  </si>
  <si>
    <t>Assessment Name - Oncology Response</t>
  </si>
  <si>
    <t>评估名称 - 肿瘤反应</t>
    <phoneticPr fontId="6" type="noConversion"/>
  </si>
  <si>
    <t>IT.RS.RSTEST.CCCAT</t>
  </si>
  <si>
    <t>WC.RS.RSCAT.CCCAT.RSTEST</t>
  </si>
  <si>
    <t>RSTEST</t>
    <phoneticPr fontId="6" type="noConversion"/>
  </si>
  <si>
    <t>ECOG1TN</t>
    <phoneticPr fontId="6" type="noConversion"/>
  </si>
  <si>
    <t>Assessment Name - Clinical Classification</t>
    <phoneticPr fontId="6" type="noConversion"/>
  </si>
  <si>
    <t>评估名称 - 临床状态</t>
    <phoneticPr fontId="6" type="noConversion"/>
  </si>
  <si>
    <t>VL.RS.RSORRES</t>
  </si>
  <si>
    <t>IT.RS.RSORRES.ONCRSR</t>
  </si>
  <si>
    <t>WC.RS.RSTESTCD.ONCRSR.RSORRES</t>
  </si>
  <si>
    <t>RSORRES</t>
  </si>
  <si>
    <t>Result or Finding in Original Units - Oncology Response Assessment Result</t>
  </si>
  <si>
    <t>结果或发现-原始单位 - 肿瘤反应评价结果</t>
  </si>
  <si>
    <t>IT.RS.RSORRES.NY</t>
  </si>
  <si>
    <t>WC.RS.RSTESTCD.NY.RSORRES</t>
  </si>
  <si>
    <t>RSORRES</t>
    <phoneticPr fontId="6" type="noConversion"/>
  </si>
  <si>
    <t>Result or Finding in Original Units - No Yes Response</t>
  </si>
  <si>
    <t>结果或发现-原始单位 - 是非应答</t>
  </si>
  <si>
    <t>IT.RS.RSORRES.CCCAT</t>
    <phoneticPr fontId="6" type="noConversion"/>
  </si>
  <si>
    <t>WC.RS.RSCAT.CCCAT.RSORRES</t>
  </si>
  <si>
    <t>ECOG101OR</t>
    <phoneticPr fontId="6" type="noConversion"/>
  </si>
  <si>
    <t>Result or Finding in Original Units - Clinical Classification</t>
    <phoneticPr fontId="6" type="noConversion"/>
  </si>
  <si>
    <t>结果或发现-原始单位 - 临床状态</t>
    <phoneticPr fontId="6" type="noConversion"/>
  </si>
  <si>
    <t>VL.RS.RSSTRESC</t>
  </si>
  <si>
    <t>IT.RS.RSSTRESC.ONCRSR</t>
  </si>
  <si>
    <t>WC.RS.RSTESTCD.ONCRSR.RSSTRESC</t>
  </si>
  <si>
    <t>MT.STRESC.STD</t>
    <phoneticPr fontId="6" type="noConversion"/>
  </si>
  <si>
    <t>RSSTRESC</t>
  </si>
  <si>
    <t>ONCRSR</t>
  </si>
  <si>
    <t>Character Result/Finding in Std Format - Oncology Response Assessment Result</t>
  </si>
  <si>
    <t>字符型结果/发现-标准格式 - 肿瘤反应评价结果</t>
  </si>
  <si>
    <t>IT.RS.RSSTRESC.NY</t>
  </si>
  <si>
    <t>WC.RS.RSTESTCD.NY.RSSTRESC</t>
  </si>
  <si>
    <t>RSSTRESC</t>
    <phoneticPr fontId="6" type="noConversion"/>
  </si>
  <si>
    <t>Character Result/Finding in Std Format - No Yes Response</t>
  </si>
  <si>
    <t>字符型结果/发现-标准格式 - 是非应答</t>
  </si>
  <si>
    <t>IT.RS.RSSTRESC.CCCAT</t>
    <phoneticPr fontId="6" type="noConversion"/>
  </si>
  <si>
    <t>WC.RS.RSCAT.CCCAT.RSSTRESC</t>
  </si>
  <si>
    <t>ECOG101STR</t>
    <phoneticPr fontId="6" type="noConversion"/>
  </si>
  <si>
    <t>Character Result/Finding in Std Format - Clinical Classification</t>
    <phoneticPr fontId="6" type="noConversion"/>
  </si>
  <si>
    <t>字符型结果/发现-标准格式 - 临床状态</t>
    <phoneticPr fontId="6" type="noConversion"/>
  </si>
  <si>
    <t>VL.RS.RSDTC</t>
  </si>
  <si>
    <t>IT.RS.RSDTC.ONCRSR</t>
  </si>
  <si>
    <t>WC.RS.RSTESTCD.ONCRSR.RSDTC</t>
  </si>
  <si>
    <t>MT.RSDTC</t>
  </si>
  <si>
    <t>RSDTC</t>
  </si>
  <si>
    <t>date</t>
    <phoneticPr fontId="6" type="noConversion"/>
  </si>
  <si>
    <t>Date/Time of Assessment - Oncology Response</t>
  </si>
  <si>
    <t>评估的日期/时间 - 肿瘤反应</t>
  </si>
  <si>
    <t>IT.RS.RSDTC.CCCAT</t>
  </si>
  <si>
    <t>WC.RS.RSCAT.CCCAT.RSDTC</t>
  </si>
  <si>
    <t>Date/Time of Assessment - Clinical Classification</t>
  </si>
  <si>
    <t>评估的日期/时间 - 临床状态</t>
  </si>
  <si>
    <t>VL.RP.RPORRES</t>
  </si>
  <si>
    <t>IT.RP.RPORRES.TEXT</t>
  </si>
  <si>
    <t>WC.RP.RPTESTCD.TEXT</t>
  </si>
  <si>
    <t>RPORRES</t>
  </si>
  <si>
    <t>IT.RP.RPORRES.DATE</t>
  </si>
  <si>
    <t>WC.RP.RPTESTCD.DATE</t>
  </si>
  <si>
    <t>VL.RP.RPSTRESC</t>
  </si>
  <si>
    <t>IT.RP.RPSTRESC.TEXTC</t>
  </si>
  <si>
    <t>WC.RP.RPTESTCD.TEXTC</t>
  </si>
  <si>
    <t>MT.STRESC</t>
  </si>
  <si>
    <t>RPSTRESC</t>
  </si>
  <si>
    <t>IT.RP.RPSTRESC.DATEC</t>
  </si>
  <si>
    <t>WC.RP.RPTESTCD.DATEC</t>
  </si>
  <si>
    <t>VL.APRP.RPORRES</t>
  </si>
  <si>
    <t>IT.APRP.RPORRES.TEXT</t>
  </si>
  <si>
    <t>WC.APRP.RPTESTCD.TEXT</t>
  </si>
  <si>
    <t>IT.APRP.RPORRES.DATE</t>
  </si>
  <si>
    <t>WC.APRP.RPTESTCD.DATE</t>
  </si>
  <si>
    <t>VL.APRP.RPSTRESC</t>
  </si>
  <si>
    <t>IT.APRP.RPSTRESC.TEXTC</t>
  </si>
  <si>
    <t>WC.APRP.RPTESTCD.TEXTC</t>
  </si>
  <si>
    <t>IT.APRP.RPSTRESC.DATEC</t>
  </si>
  <si>
    <t>WC.APRP.RPTESTCD.DATEC</t>
  </si>
  <si>
    <t>VL.SE.SESTDTC</t>
  </si>
  <si>
    <t>IT.SE.SESTDTC.SCRN</t>
  </si>
  <si>
    <t>WC.SE.ETCD.SCRN</t>
  </si>
  <si>
    <t>MT.SESTDTC.SCRN</t>
  </si>
  <si>
    <t>SESTDTC</t>
  </si>
  <si>
    <t>IT.SE.SESTDTC.TRT</t>
  </si>
  <si>
    <t>WC.SE.ETCD.TRT</t>
  </si>
  <si>
    <t>MT.SESTDTC.TRT</t>
  </si>
  <si>
    <t>IT.SE.SESTDTC.FU</t>
  </si>
  <si>
    <t>WC.SE.ETCD.FU</t>
  </si>
  <si>
    <t>MT.SESTDTC.FU</t>
  </si>
  <si>
    <t>VL.SE.SEENDTC</t>
  </si>
  <si>
    <t>IT.SE.SEENDTC.SCRN</t>
  </si>
  <si>
    <t>MT.SEENDTC.SCRN</t>
  </si>
  <si>
    <t>SEENDTC</t>
  </si>
  <si>
    <t>IT.SE.SEENDTC.TRT</t>
  </si>
  <si>
    <t>MT.SEENDTC.TRT</t>
  </si>
  <si>
    <t>IT.SE.SEENDTC.FU</t>
  </si>
  <si>
    <t>MT.SEENDTC.FU</t>
  </si>
  <si>
    <t>VL.EG.EGORRES</t>
  </si>
  <si>
    <t>IT.EG.EGORRES.ECG1</t>
  </si>
  <si>
    <t>WC.EG.EGORRES.ECG1</t>
  </si>
  <si>
    <t>EGORRES</t>
  </si>
  <si>
    <t xml:space="preserve">         </t>
  </si>
  <si>
    <t>IT.EG.EGORRES.ECG3</t>
  </si>
  <si>
    <t>WC.EG.EGORRES.ECG3</t>
  </si>
  <si>
    <t>VL.EG.EGSTRESC</t>
  </si>
  <si>
    <t>IT.EG.EGSTRESC.ECG1</t>
  </si>
  <si>
    <t>WC.EG.EGSTRESC.ECG1</t>
  </si>
  <si>
    <t>EGSTRESC</t>
  </si>
  <si>
    <t>IT.EG.EGSTRESC.ECG2</t>
  </si>
  <si>
    <t>WC.EG.EGSTRESC.ECG2</t>
  </si>
  <si>
    <t>MT.QTCFSTRESC</t>
  </si>
  <si>
    <t>IT.EG.EGSTRESC.ECG3</t>
  </si>
  <si>
    <t>WC.EG.EGSTRESC.ECG3</t>
  </si>
  <si>
    <t>Dataset</t>
    <phoneticPr fontId="6" type="noConversion"/>
  </si>
  <si>
    <t>VariableName</t>
  </si>
  <si>
    <t>Comparator</t>
  </si>
  <si>
    <t>CheckValue</t>
    <phoneticPr fontId="6" type="noConversion"/>
  </si>
  <si>
    <t>CheckValueCN</t>
    <phoneticPr fontId="6" type="noConversion"/>
  </si>
  <si>
    <t>CommentOID</t>
    <phoneticPr fontId="6" type="noConversion"/>
  </si>
  <si>
    <t>&lt;StudyNumber&gt;</t>
    <phoneticPr fontId="6" type="noConversion"/>
  </si>
  <si>
    <t>WC.SUPPDC.QNAM.CETHNIC</t>
    <phoneticPr fontId="6" type="noConversion"/>
  </si>
  <si>
    <t>QNAM</t>
    <phoneticPr fontId="6" type="noConversion"/>
  </si>
  <si>
    <t>EQ</t>
  </si>
  <si>
    <t>WC.SUPPDM.QNAM.CETHNIC</t>
  </si>
  <si>
    <t>WC.SUPPCM.QNAM.CMRGMTR</t>
  </si>
  <si>
    <t>WC.SUPPCM.QNAM.CMPTCD</t>
  </si>
  <si>
    <t>COM.WHODRUG</t>
  </si>
  <si>
    <t>WC.SUPPCM.QNAM.ATCCD</t>
  </si>
  <si>
    <t>WC.SUPPCM.QNAM.ATC</t>
  </si>
  <si>
    <t>WC.SUPPCM.QNAM.ATC1CD</t>
  </si>
  <si>
    <t>WC.SUPPCM.QNAM.ATC1</t>
  </si>
  <si>
    <t>WC.SUPPCM.QNAM.ATC2CD</t>
  </si>
  <si>
    <t>WC.SUPPCM.QNAM.ATC2</t>
  </si>
  <si>
    <t>WC.SUPPCM.QNAM.ATC3CD</t>
  </si>
  <si>
    <t>WC.SUPPCM.QNAM.ATC3</t>
  </si>
  <si>
    <t>WC.SUPPCM.QNAM.ATC4CD</t>
  </si>
  <si>
    <t>WC.SUPPCM.QNAM.ATC4</t>
  </si>
  <si>
    <t>WC.SUPPCM.QNAM.DICTNAME</t>
  </si>
  <si>
    <t>WC.SUPPCM.QNAM.DICTVER</t>
  </si>
  <si>
    <t>WC.SUPPAE.QNAM.DICTNAME</t>
  </si>
  <si>
    <t>WC.SUPPAE.QNAM.DICTVER</t>
  </si>
  <si>
    <t>WC.SUPPAE.QNAM.AETRTEM</t>
  </si>
  <si>
    <t>WC.SUPPAE.QNAM.AESOSP</t>
  </si>
  <si>
    <t>WC.SUPPMH.QNAM.DICTNAME</t>
  </si>
  <si>
    <t>WC.SUPPMH.QNAM.DICTVER</t>
  </si>
  <si>
    <t>WC.SUPPRS.QNAM.RSCDTC</t>
  </si>
  <si>
    <t>SUPPRS</t>
  </si>
  <si>
    <t>QNAM</t>
  </si>
  <si>
    <t>RSCDTC</t>
  </si>
  <si>
    <t>WC.TS.TSPARMCD.ACTSUB</t>
  </si>
  <si>
    <t>TSPARMCD</t>
  </si>
  <si>
    <t>WC.TS.TSPARMCD.ADAPT</t>
  </si>
  <si>
    <t>WC.TS.TSPARMCD.ADDON</t>
  </si>
  <si>
    <t>WC.TS.TSPARMCD.AGEMAX</t>
  </si>
  <si>
    <t>WC.TS.TSPARMCD.AGEMIN</t>
  </si>
  <si>
    <t>WC.TS.TSPARMCD.COMPTRT</t>
  </si>
  <si>
    <t>WC.TS.TSPARMCD.CURTRT</t>
  </si>
  <si>
    <t>WC.TS.TSPARMCD.DCUTDESC</t>
  </si>
  <si>
    <t>WC.TS.TSPARMCD.DCUTDTC</t>
  </si>
  <si>
    <t>WC.TS.TSPARMCD.EXTTIND</t>
  </si>
  <si>
    <t>WC.TS.TSPARMCD.FCNTRY</t>
  </si>
  <si>
    <t>WC.TS.TSPARMCD.HLTSUBJI</t>
  </si>
  <si>
    <t>WC.TS.TSPARMCD.INDIC</t>
  </si>
  <si>
    <t>WC.TS.TSPARMCD.INTMODEL</t>
  </si>
  <si>
    <t>WC.TS.TSPARMCD.INTTYPE</t>
  </si>
  <si>
    <t>WC.TS.TSPARMCD.LENGTH</t>
  </si>
  <si>
    <t>WC.TS.TSPARMCD.NARMS</t>
  </si>
  <si>
    <t>WC.TS.TSPARMCD.NCOHORT</t>
  </si>
  <si>
    <t>WC.TS.TSPARMCD.OBJPRIM</t>
  </si>
  <si>
    <t>WC.TS.TSPARMCD.OBJSEC</t>
  </si>
  <si>
    <t>WC.TS.TSPARMCD.OBJEXP</t>
  </si>
  <si>
    <t>WC.TS.TSPARMCD.OUTMSPRI</t>
  </si>
  <si>
    <t>WC.TS.TSPARMCD.OUTMSSEC</t>
  </si>
  <si>
    <t>WC.TS.TSPARMCD.OUTMSEXP</t>
  </si>
  <si>
    <t>WC.TS.TSPARMCD.PCLAS</t>
  </si>
  <si>
    <t>WC.TS.TSPARMCD.PLANSUB</t>
  </si>
  <si>
    <t>WC.TS.TSPARMCD.PDPSTIND</t>
  </si>
  <si>
    <t>WC.TS.TSPARMCD.PDSTIND</t>
  </si>
  <si>
    <t>WC.TS.TSPARMCD.PIPIND</t>
  </si>
  <si>
    <t>WC.TS.TSPARMCD.RANDOM</t>
  </si>
  <si>
    <t>WC.TS.TSPARMCD.RANDQT</t>
  </si>
  <si>
    <t>WC.TS.TSPARMCD.RDIND</t>
  </si>
  <si>
    <t>WC.TS.TSPARMCD.REGID</t>
  </si>
  <si>
    <t>WC.TS.TSPARMCD.SDTIGVER</t>
  </si>
  <si>
    <t>WC.TS.TSPARMCD.SDTMVER</t>
  </si>
  <si>
    <t>WC.TS.TSPARMCD.SENDTC</t>
  </si>
  <si>
    <t>WC.TS.TSPARMCD.SEXPOP</t>
  </si>
  <si>
    <t>WC.TS.TSPARMCD.SPONSOR</t>
  </si>
  <si>
    <t>WC.TS.TSPARMCD.SSTDTC</t>
  </si>
  <si>
    <t>WC.TS.TSPARMCD.STOPRULE</t>
  </si>
  <si>
    <t>WC.TS.TSPARMCD.STRATFCT</t>
  </si>
  <si>
    <t>WC.TS.TSPARMCD.STYPE</t>
  </si>
  <si>
    <t>WC.TS.TSPARMCD.TBLIND</t>
  </si>
  <si>
    <t>WC.TS.TSPARMCD.TCNTRL</t>
  </si>
  <si>
    <t>WC.TS.TSPARMCD.TDIGRP</t>
  </si>
  <si>
    <t>WC.TS.TSPARMCD.THERAREA</t>
  </si>
  <si>
    <t>WC.TS.TSPARMCD.TINDTP</t>
  </si>
  <si>
    <t>WC.TS.TSPARMCD.TITLE</t>
  </si>
  <si>
    <t>WC.TS.TSPARMCD.TPHASE</t>
  </si>
  <si>
    <t>WC.TS.TSPARMCD.TRT</t>
  </si>
  <si>
    <t>WC.TS.TSPARMCD.TTYPE</t>
  </si>
  <si>
    <t>WC.DS.DSCAT.PMST</t>
  </si>
  <si>
    <t>DS</t>
  </si>
  <si>
    <t>DSCAT</t>
  </si>
  <si>
    <t>PROTOCOL MILESTONE</t>
  </si>
  <si>
    <t>方案里程碑</t>
  </si>
  <si>
    <t>WC.DS.DSCAT.COMP</t>
  </si>
  <si>
    <t>DISPOSITION EVENT</t>
  </si>
  <si>
    <t>受试者分布事件</t>
  </si>
  <si>
    <t>RS</t>
    <phoneticPr fontId="6" type="noConversion"/>
  </si>
  <si>
    <t>RECIST 1.1</t>
  </si>
  <si>
    <t>ECOG</t>
  </si>
  <si>
    <t>WC.RS.RSCAT.ONCRSCAT.RSDTC</t>
  </si>
  <si>
    <t>IN</t>
  </si>
  <si>
    <t>TRGRESP</t>
  </si>
  <si>
    <t>NTRGRESP</t>
  </si>
  <si>
    <t>OVRLRESP</t>
  </si>
  <si>
    <t>NEWLIND</t>
  </si>
  <si>
    <t>RP</t>
  </si>
  <si>
    <t>RPTESTCD</t>
  </si>
  <si>
    <t>LMPSTDTC</t>
  </si>
  <si>
    <t>PRGENDTC</t>
  </si>
  <si>
    <t>CHILDPOT</t>
  </si>
  <si>
    <t>PRGOUT</t>
  </si>
  <si>
    <t>APRP</t>
  </si>
  <si>
    <t>SE</t>
  </si>
  <si>
    <t>ETCD</t>
  </si>
  <si>
    <t>SCRN</t>
  </si>
  <si>
    <t>TRT</t>
  </si>
  <si>
    <t>FU</t>
  </si>
  <si>
    <t>EG</t>
  </si>
  <si>
    <t>EGCAT</t>
  </si>
  <si>
    <t xml:space="preserve">12-lead Electrocardiogram </t>
  </si>
  <si>
    <t>12导联心电图</t>
  </si>
  <si>
    <t>EGTESTCD</t>
  </si>
  <si>
    <t>INTP</t>
  </si>
  <si>
    <t>EGHRMN</t>
  </si>
  <si>
    <t>PRAG</t>
  </si>
  <si>
    <t>QTAG</t>
  </si>
  <si>
    <t>QTCFAG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</si>
</sst>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Times New Roman"/>
      <family val="1"/>
    </font>
    <font>
      <b/>
      <sz val="18"/>
      <color theme="3"/>
      <name val="等线 Light"/>
      <family val="3"/>
      <charset val="134"/>
      <scheme val="maj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26">
    <xf numFmtId="0" fontId="0" fillId="0" borderId="0">
      <alignment vertical="center"/>
    </xf>
    <xf numFmtId="0" fontId="7" fillId="0" borderId="0">
      <alignment vertical="center"/>
    </xf>
    <xf numFmtId="0" fontId="10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5" fillId="0" borderId="0"/>
    <xf numFmtId="0" fontId="10" fillId="0" borderId="0"/>
    <xf numFmtId="0" fontId="11" fillId="0" borderId="0">
      <alignment vertical="center"/>
    </xf>
    <xf numFmtId="0" fontId="10" fillId="0" borderId="0"/>
    <xf numFmtId="0" fontId="10" fillId="0" borderId="0"/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1" fillId="0" borderId="0">
      <alignment vertical="center"/>
    </xf>
    <xf numFmtId="0" fontId="11" fillId="0" borderId="0">
      <alignment vertical="center"/>
    </xf>
    <xf numFmtId="0" fontId="12" fillId="0" borderId="0"/>
    <xf numFmtId="0" fontId="11" fillId="0" borderId="0">
      <alignment vertical="center"/>
    </xf>
    <xf numFmtId="0" fontId="12" fillId="0" borderId="0"/>
    <xf numFmtId="0" fontId="19" fillId="2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7" fillId="5" borderId="4" applyNumberFormat="0" applyAlignment="0" applyProtection="0">
      <alignment vertical="center"/>
    </xf>
    <xf numFmtId="49" fontId="13" fillId="0" borderId="11">
      <alignment horizontal="left" vertical="top" wrapText="1"/>
    </xf>
    <xf numFmtId="0" fontId="9" fillId="8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/>
    <xf numFmtId="0" fontId="7" fillId="0" borderId="0">
      <alignment vertical="center"/>
    </xf>
    <xf numFmtId="0" fontId="5" fillId="0" borderId="0"/>
    <xf numFmtId="0" fontId="12" fillId="0" borderId="0"/>
    <xf numFmtId="0" fontId="12" fillId="0" borderId="0"/>
    <xf numFmtId="0" fontId="5" fillId="0" borderId="0"/>
    <xf numFmtId="0" fontId="29" fillId="0" borderId="0">
      <alignment vertical="center"/>
    </xf>
    <xf numFmtId="0" fontId="7" fillId="0" borderId="0">
      <alignment vertical="center"/>
    </xf>
    <xf numFmtId="0" fontId="5" fillId="0" borderId="0"/>
    <xf numFmtId="0" fontId="30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0" fillId="0" borderId="0"/>
    <xf numFmtId="0" fontId="9" fillId="0" borderId="0"/>
    <xf numFmtId="0" fontId="2" fillId="0" borderId="0"/>
    <xf numFmtId="0" fontId="2" fillId="0" borderId="0"/>
    <xf numFmtId="0" fontId="7" fillId="0" borderId="0">
      <alignment vertical="center"/>
    </xf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">
    <xf numFmtId="0" fontId="0" fillId="0" borderId="0" xfId="0">
      <alignment vertical="center"/>
    </xf>
    <xf numFmtId="49" fontId="31" fillId="9" borderId="10" xfId="0" applyNumberFormat="1" applyFont="1" applyFill="1" applyBorder="1" applyAlignment="1"/>
    <xf numFmtId="0" fontId="31" fillId="9" borderId="10" xfId="0" applyFont="1" applyFill="1" applyBorder="1" applyAlignment="1"/>
    <xf numFmtId="49" fontId="31" fillId="9" borderId="10" xfId="0" applyNumberFormat="1" applyFont="1" applyFill="1" applyBorder="1">
      <alignment vertical="center"/>
    </xf>
    <xf numFmtId="0" fontId="31" fillId="9" borderId="10" xfId="0" applyFont="1" applyFill="1" applyBorder="1" applyAlignment="1">
      <alignment horizontal="center" vertical="center" wrapTex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0" fontId="33" fillId="9" borderId="10" xfId="0" applyFont="1" applyFill="1" applyBorder="1" applyAlignment="1"/>
  </cellXfs>
  <cellStyles count="126">
    <cellStyle name="Hyperlink" xfId="49" xr:uid="{00000000-0005-0000-0000-000000000000}"/>
    <cellStyle name="Normal" xfId="0" builtinId="0"/>
    <cellStyle name="Normal 16" xfId="3" xr:uid="{00000000-0005-0000-0000-000001000000}"/>
    <cellStyle name="Normal 2" xfId="10" xr:uid="{00000000-0005-0000-0000-000002000000}"/>
    <cellStyle name="Normal 4" xfId="4" xr:uid="{00000000-0005-0000-0000-000003000000}"/>
    <cellStyle name="Normal 6" xfId="5" xr:uid="{00000000-0005-0000-0000-000004000000}"/>
    <cellStyle name="Normal_R2CIST" xfId="11" xr:uid="{00000000-0005-0000-0000-000005000000}"/>
    <cellStyle name="好 2" xfId="25" xr:uid="{00000000-0005-0000-0000-000072000000}"/>
    <cellStyle name="差 2" xfId="17" xr:uid="{00000000-0005-0000-0000-00000B000000}"/>
    <cellStyle name="常规 10" xfId="50" xr:uid="{00000000-0005-0000-0000-00000D000000}"/>
    <cellStyle name="常规 10 2" xfId="61" xr:uid="{00000000-0005-0000-0000-00000E000000}"/>
    <cellStyle name="常规 10 2 2" xfId="98" xr:uid="{00000000-0005-0000-0000-00000F000000}"/>
    <cellStyle name="常规 10 2 3" xfId="120" xr:uid="{00000000-0005-0000-0000-000010000000}"/>
    <cellStyle name="常规 10 3" xfId="72" xr:uid="{00000000-0005-0000-0000-000011000000}"/>
    <cellStyle name="常规 10 4" xfId="88" xr:uid="{00000000-0005-0000-0000-000012000000}"/>
    <cellStyle name="常规 10 5" xfId="110" xr:uid="{00000000-0005-0000-0000-000013000000}"/>
    <cellStyle name="常规 11" xfId="52" xr:uid="{00000000-0005-0000-0000-000014000000}"/>
    <cellStyle name="常规 11 2" xfId="63" xr:uid="{00000000-0005-0000-0000-000015000000}"/>
    <cellStyle name="常规 11 2 2" xfId="100" xr:uid="{00000000-0005-0000-0000-000016000000}"/>
    <cellStyle name="常规 11 2 3" xfId="122" xr:uid="{00000000-0005-0000-0000-000017000000}"/>
    <cellStyle name="常规 11 3" xfId="74" xr:uid="{00000000-0005-0000-0000-000018000000}"/>
    <cellStyle name="常规 11 4" xfId="90" xr:uid="{00000000-0005-0000-0000-000019000000}"/>
    <cellStyle name="常规 11 5" xfId="112" xr:uid="{00000000-0005-0000-0000-00001A000000}"/>
    <cellStyle name="常规 12" xfId="54" xr:uid="{00000000-0005-0000-0000-00001B000000}"/>
    <cellStyle name="常规 12 2" xfId="65" xr:uid="{00000000-0005-0000-0000-00001C000000}"/>
    <cellStyle name="常规 12 2 2" xfId="102" xr:uid="{00000000-0005-0000-0000-00001D000000}"/>
    <cellStyle name="常规 12 2 3" xfId="124" xr:uid="{00000000-0005-0000-0000-00001E000000}"/>
    <cellStyle name="常规 12 3" xfId="76" xr:uid="{00000000-0005-0000-0000-00001F000000}"/>
    <cellStyle name="常规 12 4" xfId="92" xr:uid="{00000000-0005-0000-0000-000020000000}"/>
    <cellStyle name="常规 12 5" xfId="114" xr:uid="{00000000-0005-0000-0000-000021000000}"/>
    <cellStyle name="常规 13" xfId="39" xr:uid="{00000000-0005-0000-0000-000022000000}"/>
    <cellStyle name="常规 14" xfId="78" xr:uid="{00000000-0005-0000-0000-000023000000}"/>
    <cellStyle name="常规 15" xfId="104" xr:uid="{00000000-0005-0000-0000-000024000000}"/>
    <cellStyle name="常规 2" xfId="1" xr:uid="{00000000-0005-0000-0000-000025000000}"/>
    <cellStyle name="常规 2 2" xfId="6" xr:uid="{00000000-0005-0000-0000-000026000000}"/>
    <cellStyle name="常规 2 2 2" xfId="44" xr:uid="{00000000-0005-0000-0000-000027000000}"/>
    <cellStyle name="常规 2 2 2 2" xfId="41" xr:uid="{00000000-0005-0000-0000-000028000000}"/>
    <cellStyle name="常规 2 2 2 2 2" xfId="83" xr:uid="{00000000-0005-0000-0000-000029000000}"/>
    <cellStyle name="常规 2 2 2 3" xfId="85" xr:uid="{00000000-0005-0000-0000-00002A000000}"/>
    <cellStyle name="常规 2 2 3" xfId="19" xr:uid="{00000000-0005-0000-0000-00002B000000}"/>
    <cellStyle name="常规 2 2 4" xfId="48" xr:uid="{00000000-0005-0000-0000-00002C000000}"/>
    <cellStyle name="常规 2 2 4 2" xfId="60" xr:uid="{00000000-0005-0000-0000-00002D000000}"/>
    <cellStyle name="常规 2 2 4 2 2" xfId="97" xr:uid="{00000000-0005-0000-0000-00002E000000}"/>
    <cellStyle name="常规 2 2 4 2 3" xfId="119" xr:uid="{00000000-0005-0000-0000-00002F000000}"/>
    <cellStyle name="常规 2 2 4 3" xfId="71" xr:uid="{00000000-0005-0000-0000-000030000000}"/>
    <cellStyle name="常规 2 2 4 4" xfId="87" xr:uid="{00000000-0005-0000-0000-000031000000}"/>
    <cellStyle name="常规 2 2 4 5" xfId="109" xr:uid="{00000000-0005-0000-0000-000032000000}"/>
    <cellStyle name="常规 2 2 5" xfId="51" xr:uid="{00000000-0005-0000-0000-000033000000}"/>
    <cellStyle name="常规 2 2 5 2" xfId="62" xr:uid="{00000000-0005-0000-0000-000034000000}"/>
    <cellStyle name="常规 2 2 5 2 2" xfId="99" xr:uid="{00000000-0005-0000-0000-000035000000}"/>
    <cellStyle name="常规 2 2 5 2 3" xfId="121" xr:uid="{00000000-0005-0000-0000-000036000000}"/>
    <cellStyle name="常规 2 2 5 3" xfId="73" xr:uid="{00000000-0005-0000-0000-000037000000}"/>
    <cellStyle name="常规 2 2 5 4" xfId="89" xr:uid="{00000000-0005-0000-0000-000038000000}"/>
    <cellStyle name="常规 2 2 5 5" xfId="111" xr:uid="{00000000-0005-0000-0000-000039000000}"/>
    <cellStyle name="常规 2 2 6" xfId="53" xr:uid="{00000000-0005-0000-0000-00003A000000}"/>
    <cellStyle name="常规 2 2 6 2" xfId="64" xr:uid="{00000000-0005-0000-0000-00003B000000}"/>
    <cellStyle name="常规 2 2 6 2 2" xfId="101" xr:uid="{00000000-0005-0000-0000-00003C000000}"/>
    <cellStyle name="常规 2 2 6 2 3" xfId="123" xr:uid="{00000000-0005-0000-0000-00003D000000}"/>
    <cellStyle name="常规 2 2 6 3" xfId="75" xr:uid="{00000000-0005-0000-0000-00003E000000}"/>
    <cellStyle name="常规 2 2 6 4" xfId="91" xr:uid="{00000000-0005-0000-0000-00003F000000}"/>
    <cellStyle name="常规 2 2 6 5" xfId="113" xr:uid="{00000000-0005-0000-0000-000040000000}"/>
    <cellStyle name="常规 2 2 7" xfId="55" xr:uid="{00000000-0005-0000-0000-000041000000}"/>
    <cellStyle name="常规 2 2 7 2" xfId="66" xr:uid="{00000000-0005-0000-0000-000042000000}"/>
    <cellStyle name="常规 2 2 7 2 2" xfId="103" xr:uid="{00000000-0005-0000-0000-000043000000}"/>
    <cellStyle name="常规 2 2 7 2 3" xfId="125" xr:uid="{00000000-0005-0000-0000-000044000000}"/>
    <cellStyle name="常规 2 2 7 3" xfId="77" xr:uid="{00000000-0005-0000-0000-000045000000}"/>
    <cellStyle name="常规 2 2 7 4" xfId="93" xr:uid="{00000000-0005-0000-0000-000046000000}"/>
    <cellStyle name="常规 2 2 7 5" xfId="115" xr:uid="{00000000-0005-0000-0000-000047000000}"/>
    <cellStyle name="常规 2 2 8" xfId="80" xr:uid="{00000000-0005-0000-0000-000048000000}"/>
    <cellStyle name="常规 2 3" xfId="8" xr:uid="{00000000-0005-0000-0000-000049000000}"/>
    <cellStyle name="常规 2 3 2" xfId="43" xr:uid="{00000000-0005-0000-0000-00004A000000}"/>
    <cellStyle name="常规 2 3 3" xfId="46" xr:uid="{00000000-0005-0000-0000-00004B000000}"/>
    <cellStyle name="常规 2 4" xfId="18" xr:uid="{00000000-0005-0000-0000-00004C000000}"/>
    <cellStyle name="常规 2 6" xfId="38" xr:uid="{00000000-0005-0000-0000-00004D000000}"/>
    <cellStyle name="常规 3" xfId="2" xr:uid="{00000000-0005-0000-0000-00004E000000}"/>
    <cellStyle name="常规 3 2" xfId="20" xr:uid="{00000000-0005-0000-0000-00004F000000}"/>
    <cellStyle name="常规 3 3" xfId="21" xr:uid="{00000000-0005-0000-0000-000050000000}"/>
    <cellStyle name="常规 3 4" xfId="47" xr:uid="{00000000-0005-0000-0000-000051000000}"/>
    <cellStyle name="常规 3 5" xfId="79" xr:uid="{00000000-0005-0000-0000-000052000000}"/>
    <cellStyle name="常规 4" xfId="7" xr:uid="{00000000-0005-0000-0000-000053000000}"/>
    <cellStyle name="常规 4 2" xfId="22" xr:uid="{00000000-0005-0000-0000-000054000000}"/>
    <cellStyle name="常规 4 3" xfId="56" xr:uid="{00000000-0005-0000-0000-000055000000}"/>
    <cellStyle name="常规 4 3 2" xfId="81" xr:uid="{00000000-0005-0000-0000-000056000000}"/>
    <cellStyle name="常规 4 3 3" xfId="105" xr:uid="{00000000-0005-0000-0000-000057000000}"/>
    <cellStyle name="常规 4 4" xfId="67" xr:uid="{00000000-0005-0000-0000-000058000000}"/>
    <cellStyle name="常规 5" xfId="23" xr:uid="{00000000-0005-0000-0000-000059000000}"/>
    <cellStyle name="常规 6" xfId="24" xr:uid="{00000000-0005-0000-0000-00005A000000}"/>
    <cellStyle name="常规 7" xfId="40" xr:uid="{00000000-0005-0000-0000-00005B000000}"/>
    <cellStyle name="常规 7 2" xfId="42" xr:uid="{00000000-0005-0000-0000-00005C000000}"/>
    <cellStyle name="常规 7 2 2" xfId="58" xr:uid="{00000000-0005-0000-0000-00005D000000}"/>
    <cellStyle name="常规 7 2 2 2" xfId="95" xr:uid="{00000000-0005-0000-0000-00005E000000}"/>
    <cellStyle name="常规 7 2 2 3" xfId="117" xr:uid="{00000000-0005-0000-0000-00005F000000}"/>
    <cellStyle name="常规 7 2 3" xfId="69" xr:uid="{00000000-0005-0000-0000-000060000000}"/>
    <cellStyle name="常规 7 2 4" xfId="84" xr:uid="{00000000-0005-0000-0000-000061000000}"/>
    <cellStyle name="常规 7 2 5" xfId="107" xr:uid="{00000000-0005-0000-0000-000062000000}"/>
    <cellStyle name="常规 7 3" xfId="57" xr:uid="{00000000-0005-0000-0000-000063000000}"/>
    <cellStyle name="常规 7 3 2" xfId="94" xr:uid="{00000000-0005-0000-0000-000064000000}"/>
    <cellStyle name="常规 7 3 3" xfId="116" xr:uid="{00000000-0005-0000-0000-000065000000}"/>
    <cellStyle name="常规 7 4" xfId="68" xr:uid="{00000000-0005-0000-0000-000066000000}"/>
    <cellStyle name="常规 7 5" xfId="82" xr:uid="{00000000-0005-0000-0000-000067000000}"/>
    <cellStyle name="常规 7 6" xfId="106" xr:uid="{00000000-0005-0000-0000-000068000000}"/>
    <cellStyle name="常规 8" xfId="9" xr:uid="{00000000-0005-0000-0000-000069000000}"/>
    <cellStyle name="常规 9" xfId="45" xr:uid="{00000000-0005-0000-0000-00006A000000}"/>
    <cellStyle name="常规 9 2" xfId="59" xr:uid="{00000000-0005-0000-0000-00006B000000}"/>
    <cellStyle name="常规 9 2 2" xfId="96" xr:uid="{00000000-0005-0000-0000-00006C000000}"/>
    <cellStyle name="常规 9 2 3" xfId="118" xr:uid="{00000000-0005-0000-0000-00006D000000}"/>
    <cellStyle name="常规 9 3" xfId="70" xr:uid="{00000000-0005-0000-0000-00006E000000}"/>
    <cellStyle name="常规 9 4" xfId="86" xr:uid="{00000000-0005-0000-0000-00006F000000}"/>
    <cellStyle name="常规 9 5" xfId="108" xr:uid="{00000000-0005-0000-0000-000070000000}"/>
    <cellStyle name="标题 1 2" xfId="13" xr:uid="{00000000-0005-0000-0000-000006000000}"/>
    <cellStyle name="标题 2 2" xfId="14" xr:uid="{00000000-0005-0000-0000-000007000000}"/>
    <cellStyle name="标题 3 2" xfId="15" xr:uid="{00000000-0005-0000-0000-000008000000}"/>
    <cellStyle name="标题 4 2" xfId="16" xr:uid="{00000000-0005-0000-0000-000009000000}"/>
    <cellStyle name="标题 5" xfId="12" xr:uid="{00000000-0005-0000-0000-00000A000000}"/>
    <cellStyle name="样式 1" xfId="35" xr:uid="{00000000-0005-0000-0000-00007C000000}"/>
    <cellStyle name="检查单元格 2" xfId="28" xr:uid="{00000000-0005-0000-0000-000075000000}"/>
    <cellStyle name="汇总 2" xfId="26" xr:uid="{00000000-0005-0000-0000-000073000000}"/>
    <cellStyle name="注释 2" xfId="36" xr:uid="{00000000-0005-0000-0000-00007D000000}"/>
    <cellStyle name="解释性文本 2" xfId="29" xr:uid="{00000000-0005-0000-0000-000076000000}"/>
    <cellStyle name="警告文本 2" xfId="30" xr:uid="{00000000-0005-0000-0000-000077000000}"/>
    <cellStyle name="计算 2" xfId="27" xr:uid="{00000000-0005-0000-0000-000074000000}"/>
    <cellStyle name="超链接 2" xfId="37" xr:uid="{00000000-0005-0000-0000-000071000000}"/>
    <cellStyle name="输入 2" xfId="34" xr:uid="{00000000-0005-0000-0000-00007B000000}"/>
    <cellStyle name="输出 2" xfId="33" xr:uid="{00000000-0005-0000-0000-00007A000000}"/>
    <cellStyle name="适中 2" xfId="32" xr:uid="{00000000-0005-0000-0000-000079000000}"/>
    <cellStyle name="链接单元格 2" xfId="31" xr:uid="{00000000-0005-0000-0000-00007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0"/>
  <sheetViews>
    <sheetView tabSelected="1" zoomScale="85" zoomScaleNormal="85" workbookViewId="0" xr3:uid="{AEA406A1-0E4B-5B11-9CD5-51D6E497D94C}">
      <pane xSplit="2" ySplit="1" topLeftCell="C2" activePane="bottomRight" state="frozen"/>
      <selection pane="bottomRight" activeCell="A25" sqref="A25:XFD25"/>
      <selection pane="bottomLeft" activeCell="A2" sqref="A2"/>
      <selection pane="topRight" activeCell="C1" sqref="C1"/>
    </sheetView>
  </sheetViews>
  <sheetFormatPr defaultColWidth="9" defaultRowHeight="12.75"/>
  <cols>
    <col min="1" max="1" width="18.625" style="5" customWidth="1"/>
    <col min="2" max="2" width="24.25" style="5" customWidth="1"/>
    <col min="3" max="3" width="11.5" style="5" bestFit="1" customWidth="1"/>
    <col min="4" max="4" width="14.75" style="5" bestFit="1" customWidth="1"/>
    <col min="5" max="5" width="30.625" style="6" customWidth="1"/>
    <col min="6" max="6" width="25.375" style="5" customWidth="1"/>
    <col min="7" max="7" width="13.125" style="5" bestFit="1" customWidth="1"/>
    <col min="8" max="8" width="12.75" style="5" bestFit="1" customWidth="1"/>
    <col min="9" max="9" width="11.375" style="5" customWidth="1"/>
    <col min="10" max="10" width="15.875" style="5" bestFit="1" customWidth="1"/>
    <col min="11" max="12" width="15.875" style="5" customWidth="1"/>
    <col min="13" max="13" width="34.375" style="5" bestFit="1" customWidth="1"/>
    <col min="14" max="14" width="19.25" style="5" bestFit="1" customWidth="1"/>
    <col min="15" max="15" width="14.875" style="5" bestFit="1" customWidth="1"/>
    <col min="16" max="16" width="17.5" style="5" customWidth="1"/>
    <col min="17" max="17" width="50.125" style="5" customWidth="1"/>
    <col min="18" max="18" width="37.375" style="5" customWidth="1"/>
    <col min="19" max="19" width="16" style="5" bestFit="1" customWidth="1"/>
    <col min="20" max="16384" width="9" style="5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18</v>
      </c>
    </row>
    <row r="2" spans="1:19">
      <c r="A2" s="5" t="s">
        <v>19</v>
      </c>
      <c r="B2" s="5" t="s">
        <v>20</v>
      </c>
      <c r="C2" s="5" t="s">
        <v>21</v>
      </c>
      <c r="D2" s="5" t="s">
        <v>22</v>
      </c>
      <c r="E2" s="6" t="str">
        <f t="shared" ref="E2:E7" si="0">"WC"&amp;MID(B2,3,8)&amp;"QNAM"&amp;RIGHT(B2,LEN(B2)-14)</f>
        <v>WC.SUPPDC.QNAM.CETHNIC</v>
      </c>
      <c r="G2" s="5" t="s">
        <v>23</v>
      </c>
      <c r="H2" s="5" t="s">
        <v>24</v>
      </c>
      <c r="J2" s="5" t="s">
        <v>25</v>
      </c>
      <c r="L2" s="5" t="s">
        <v>26</v>
      </c>
      <c r="N2" s="5" t="s">
        <v>27</v>
      </c>
    </row>
    <row r="3" spans="1:19">
      <c r="A3" s="5" t="s">
        <v>28</v>
      </c>
      <c r="B3" s="5" t="s">
        <v>29</v>
      </c>
      <c r="C3" s="5" t="s">
        <v>21</v>
      </c>
      <c r="D3" s="5" t="s">
        <v>22</v>
      </c>
      <c r="E3" s="6" t="str">
        <f t="shared" si="0"/>
        <v>WC.SUPPDM.QNAM.CETHNIC</v>
      </c>
      <c r="G3" s="5" t="s">
        <v>23</v>
      </c>
      <c r="H3" s="5" t="s">
        <v>24</v>
      </c>
      <c r="J3" s="5" t="s">
        <v>30</v>
      </c>
      <c r="M3" s="5" t="s">
        <v>31</v>
      </c>
      <c r="N3" s="5" t="s">
        <v>27</v>
      </c>
    </row>
    <row r="4" spans="1:19">
      <c r="A4" s="5" t="s">
        <v>28</v>
      </c>
      <c r="B4" s="5" t="s">
        <v>29</v>
      </c>
      <c r="C4" s="5" t="s">
        <v>21</v>
      </c>
      <c r="D4" s="5" t="s">
        <v>22</v>
      </c>
      <c r="E4" s="6" t="str">
        <f t="shared" si="0"/>
        <v>WC.SUPPDM.QNAM.CETHNIC</v>
      </c>
      <c r="G4" s="5" t="s">
        <v>23</v>
      </c>
      <c r="H4" s="5" t="s">
        <v>24</v>
      </c>
      <c r="J4" s="5" t="s">
        <v>25</v>
      </c>
      <c r="L4" s="5" t="s">
        <v>26</v>
      </c>
      <c r="N4" s="5" t="s">
        <v>27</v>
      </c>
    </row>
    <row r="5" spans="1:19">
      <c r="A5" s="5" t="s">
        <v>32</v>
      </c>
      <c r="B5" s="5" t="s">
        <v>33</v>
      </c>
      <c r="C5" s="5" t="s">
        <v>34</v>
      </c>
      <c r="D5" s="5" t="s">
        <v>22</v>
      </c>
      <c r="E5" s="6" t="str">
        <f t="shared" si="0"/>
        <v>WC.SUPPCM.QNAM.CMRGMTR</v>
      </c>
      <c r="G5" s="5" t="s">
        <v>23</v>
      </c>
      <c r="H5" s="5" t="s">
        <v>24</v>
      </c>
      <c r="J5" s="5" t="s">
        <v>25</v>
      </c>
      <c r="L5" s="5" t="s">
        <v>26</v>
      </c>
    </row>
    <row r="6" spans="1:19">
      <c r="A6" s="5" t="s">
        <v>32</v>
      </c>
      <c r="B6" s="5" t="s">
        <v>35</v>
      </c>
      <c r="C6" s="5" t="s">
        <v>34</v>
      </c>
      <c r="D6" s="5" t="s">
        <v>22</v>
      </c>
      <c r="E6" s="6" t="str">
        <f t="shared" si="0"/>
        <v>WC.SUPPCM.QNAM.CMPTCD</v>
      </c>
      <c r="G6" s="5" t="s">
        <v>23</v>
      </c>
      <c r="H6" s="5" t="s">
        <v>24</v>
      </c>
      <c r="J6" s="5" t="s">
        <v>36</v>
      </c>
      <c r="L6" s="5" t="s">
        <v>37</v>
      </c>
      <c r="N6" s="5" t="s">
        <v>38</v>
      </c>
    </row>
    <row r="7" spans="1:19">
      <c r="A7" s="5" t="s">
        <v>32</v>
      </c>
      <c r="B7" s="5" t="s">
        <v>39</v>
      </c>
      <c r="C7" s="5" t="s">
        <v>40</v>
      </c>
      <c r="D7" s="5" t="s">
        <v>22</v>
      </c>
      <c r="E7" s="6" t="str">
        <f t="shared" si="0"/>
        <v>WC.SUPPCM.QNAM.ATCCD</v>
      </c>
      <c r="G7" s="5" t="s">
        <v>23</v>
      </c>
      <c r="H7" s="5" t="s">
        <v>24</v>
      </c>
      <c r="J7" s="5" t="s">
        <v>36</v>
      </c>
      <c r="L7" s="5" t="s">
        <v>37</v>
      </c>
      <c r="N7" s="5" t="s">
        <v>38</v>
      </c>
    </row>
    <row r="8" spans="1:19">
      <c r="A8" s="5" t="s">
        <v>32</v>
      </c>
      <c r="B8" s="5" t="s">
        <v>41</v>
      </c>
      <c r="C8" s="5" t="s">
        <v>42</v>
      </c>
      <c r="D8" s="5" t="s">
        <v>22</v>
      </c>
      <c r="E8" s="6" t="str">
        <f t="shared" ref="E8:E22" si="1">"WC"&amp;MID(B8,3,8)&amp;"QNAM"&amp;RIGHT(B8,LEN(B8)-14)</f>
        <v>WC.SUPPCM.QNAM.ATC</v>
      </c>
      <c r="G8" s="5" t="s">
        <v>23</v>
      </c>
      <c r="H8" s="5" t="s">
        <v>24</v>
      </c>
      <c r="J8" s="5" t="s">
        <v>36</v>
      </c>
      <c r="L8" s="5" t="s">
        <v>37</v>
      </c>
      <c r="N8" s="5" t="s">
        <v>38</v>
      </c>
    </row>
    <row r="9" spans="1:19">
      <c r="A9" s="5" t="s">
        <v>32</v>
      </c>
      <c r="B9" s="5" t="s">
        <v>43</v>
      </c>
      <c r="C9" s="5" t="s">
        <v>44</v>
      </c>
      <c r="D9" s="5" t="s">
        <v>22</v>
      </c>
      <c r="E9" s="6" t="str">
        <f t="shared" si="1"/>
        <v>WC.SUPPCM.QNAM.ATC1CD</v>
      </c>
      <c r="G9" s="5" t="s">
        <v>23</v>
      </c>
      <c r="H9" s="5" t="s">
        <v>24</v>
      </c>
      <c r="J9" s="5" t="s">
        <v>36</v>
      </c>
      <c r="L9" s="5" t="s">
        <v>37</v>
      </c>
      <c r="N9" s="5" t="s">
        <v>38</v>
      </c>
    </row>
    <row r="10" spans="1:19">
      <c r="A10" s="5" t="s">
        <v>32</v>
      </c>
      <c r="B10" s="5" t="s">
        <v>45</v>
      </c>
      <c r="C10" s="5" t="s">
        <v>46</v>
      </c>
      <c r="D10" s="5" t="s">
        <v>22</v>
      </c>
      <c r="E10" s="6" t="str">
        <f t="shared" si="1"/>
        <v>WC.SUPPCM.QNAM.ATC1</v>
      </c>
      <c r="G10" s="5" t="s">
        <v>23</v>
      </c>
      <c r="H10" s="5" t="s">
        <v>24</v>
      </c>
      <c r="J10" s="5" t="s">
        <v>36</v>
      </c>
      <c r="L10" s="5" t="s">
        <v>37</v>
      </c>
      <c r="N10" s="5" t="s">
        <v>38</v>
      </c>
    </row>
    <row r="11" spans="1:19">
      <c r="A11" s="5" t="s">
        <v>32</v>
      </c>
      <c r="B11" s="5" t="s">
        <v>47</v>
      </c>
      <c r="C11" s="5" t="s">
        <v>48</v>
      </c>
      <c r="D11" s="5" t="s">
        <v>22</v>
      </c>
      <c r="E11" s="6" t="str">
        <f t="shared" si="1"/>
        <v>WC.SUPPCM.QNAM.ATC2CD</v>
      </c>
      <c r="G11" s="5" t="s">
        <v>23</v>
      </c>
      <c r="H11" s="5" t="s">
        <v>24</v>
      </c>
      <c r="J11" s="5" t="s">
        <v>36</v>
      </c>
      <c r="L11" s="5" t="s">
        <v>37</v>
      </c>
      <c r="N11" s="5" t="s">
        <v>38</v>
      </c>
    </row>
    <row r="12" spans="1:19">
      <c r="A12" s="5" t="s">
        <v>32</v>
      </c>
      <c r="B12" s="5" t="s">
        <v>49</v>
      </c>
      <c r="C12" s="5" t="s">
        <v>50</v>
      </c>
      <c r="D12" s="5" t="s">
        <v>22</v>
      </c>
      <c r="E12" s="6" t="str">
        <f t="shared" si="1"/>
        <v>WC.SUPPCM.QNAM.ATC2</v>
      </c>
      <c r="G12" s="5" t="s">
        <v>23</v>
      </c>
      <c r="H12" s="5" t="s">
        <v>24</v>
      </c>
      <c r="J12" s="5" t="s">
        <v>36</v>
      </c>
      <c r="L12" s="5" t="s">
        <v>37</v>
      </c>
      <c r="N12" s="5" t="s">
        <v>38</v>
      </c>
    </row>
    <row r="13" spans="1:19">
      <c r="A13" s="5" t="s">
        <v>32</v>
      </c>
      <c r="B13" s="5" t="s">
        <v>51</v>
      </c>
      <c r="C13" s="5" t="s">
        <v>52</v>
      </c>
      <c r="D13" s="5" t="s">
        <v>22</v>
      </c>
      <c r="E13" s="6" t="str">
        <f t="shared" si="1"/>
        <v>WC.SUPPCM.QNAM.ATC3CD</v>
      </c>
      <c r="G13" s="5" t="s">
        <v>23</v>
      </c>
      <c r="H13" s="5" t="s">
        <v>24</v>
      </c>
      <c r="J13" s="5" t="s">
        <v>36</v>
      </c>
      <c r="L13" s="5" t="s">
        <v>37</v>
      </c>
      <c r="N13" s="5" t="s">
        <v>38</v>
      </c>
    </row>
    <row r="14" spans="1:19">
      <c r="A14" s="5" t="s">
        <v>32</v>
      </c>
      <c r="B14" s="5" t="s">
        <v>53</v>
      </c>
      <c r="C14" s="5" t="s">
        <v>54</v>
      </c>
      <c r="D14" s="5" t="s">
        <v>22</v>
      </c>
      <c r="E14" s="6" t="str">
        <f t="shared" si="1"/>
        <v>WC.SUPPCM.QNAM.ATC3</v>
      </c>
      <c r="G14" s="5" t="s">
        <v>23</v>
      </c>
      <c r="H14" s="5" t="s">
        <v>24</v>
      </c>
      <c r="J14" s="5" t="s">
        <v>36</v>
      </c>
      <c r="L14" s="5" t="s">
        <v>37</v>
      </c>
      <c r="N14" s="5" t="s">
        <v>38</v>
      </c>
    </row>
    <row r="15" spans="1:19">
      <c r="A15" s="5" t="s">
        <v>32</v>
      </c>
      <c r="B15" s="5" t="s">
        <v>55</v>
      </c>
      <c r="C15" s="5" t="s">
        <v>56</v>
      </c>
      <c r="D15" s="5" t="s">
        <v>22</v>
      </c>
      <c r="E15" s="6" t="str">
        <f t="shared" si="1"/>
        <v>WC.SUPPCM.QNAM.ATC4CD</v>
      </c>
      <c r="G15" s="5" t="s">
        <v>23</v>
      </c>
      <c r="H15" s="5" t="s">
        <v>24</v>
      </c>
      <c r="J15" s="5" t="s">
        <v>36</v>
      </c>
      <c r="L15" s="5" t="s">
        <v>37</v>
      </c>
      <c r="N15" s="5" t="s">
        <v>38</v>
      </c>
    </row>
    <row r="16" spans="1:19">
      <c r="A16" s="5" t="s">
        <v>32</v>
      </c>
      <c r="B16" s="5" t="s">
        <v>57</v>
      </c>
      <c r="C16" s="5" t="s">
        <v>58</v>
      </c>
      <c r="D16" s="5" t="s">
        <v>22</v>
      </c>
      <c r="E16" s="6" t="str">
        <f t="shared" si="1"/>
        <v>WC.SUPPCM.QNAM.ATC4</v>
      </c>
      <c r="G16" s="5" t="s">
        <v>23</v>
      </c>
      <c r="H16" s="5" t="s">
        <v>24</v>
      </c>
      <c r="J16" s="5" t="s">
        <v>36</v>
      </c>
      <c r="L16" s="5" t="s">
        <v>37</v>
      </c>
      <c r="N16" s="5" t="s">
        <v>38</v>
      </c>
    </row>
    <row r="17" spans="1:18">
      <c r="A17" s="5" t="s">
        <v>32</v>
      </c>
      <c r="B17" s="5" t="s">
        <v>59</v>
      </c>
      <c r="C17" s="5" t="s">
        <v>60</v>
      </c>
      <c r="D17" s="5" t="s">
        <v>22</v>
      </c>
      <c r="E17" s="6" t="str">
        <f t="shared" ref="E17" si="2">"WC"&amp;MID(B17,3,8)&amp;"QNAM"&amp;RIGHT(B17,LEN(B17)-14)</f>
        <v>WC.SUPPCM.QNAM.DICTNAME</v>
      </c>
      <c r="G17" s="5" t="s">
        <v>23</v>
      </c>
      <c r="H17" s="5" t="s">
        <v>24</v>
      </c>
      <c r="J17" s="5" t="s">
        <v>36</v>
      </c>
      <c r="L17" s="5" t="s">
        <v>37</v>
      </c>
    </row>
    <row r="18" spans="1:18">
      <c r="A18" s="5" t="s">
        <v>32</v>
      </c>
      <c r="B18" s="5" t="s">
        <v>61</v>
      </c>
      <c r="C18" s="5" t="s">
        <v>62</v>
      </c>
      <c r="D18" s="5" t="s">
        <v>22</v>
      </c>
      <c r="E18" s="6" t="str">
        <f t="shared" si="1"/>
        <v>WC.SUPPCM.QNAM.DICTVER</v>
      </c>
      <c r="G18" s="5" t="s">
        <v>23</v>
      </c>
      <c r="H18" s="5" t="s">
        <v>24</v>
      </c>
      <c r="J18" s="5" t="s">
        <v>36</v>
      </c>
      <c r="L18" s="5" t="s">
        <v>37</v>
      </c>
    </row>
    <row r="19" spans="1:18">
      <c r="A19" s="5" t="s">
        <v>63</v>
      </c>
      <c r="B19" s="5" t="s">
        <v>64</v>
      </c>
      <c r="C19" s="5" t="s">
        <v>34</v>
      </c>
      <c r="D19" s="5" t="s">
        <v>22</v>
      </c>
      <c r="E19" s="6" t="str">
        <f t="shared" si="1"/>
        <v>WC.SUPPAE.QNAM.DICTNAME</v>
      </c>
      <c r="G19" s="5" t="s">
        <v>23</v>
      </c>
      <c r="H19" s="5" t="s">
        <v>24</v>
      </c>
      <c r="J19" s="5" t="s">
        <v>36</v>
      </c>
      <c r="L19" s="5" t="s">
        <v>37</v>
      </c>
    </row>
    <row r="20" spans="1:18">
      <c r="A20" s="5" t="s">
        <v>63</v>
      </c>
      <c r="B20" s="5" t="s">
        <v>65</v>
      </c>
      <c r="C20" s="5" t="s">
        <v>40</v>
      </c>
      <c r="D20" s="5" t="s">
        <v>22</v>
      </c>
      <c r="E20" s="6" t="str">
        <f t="shared" si="1"/>
        <v>WC.SUPPAE.QNAM.DICTVER</v>
      </c>
      <c r="G20" s="5" t="s">
        <v>23</v>
      </c>
      <c r="H20" s="5" t="s">
        <v>24</v>
      </c>
      <c r="J20" s="5" t="s">
        <v>36</v>
      </c>
      <c r="L20" s="5" t="s">
        <v>37</v>
      </c>
    </row>
    <row r="21" spans="1:18">
      <c r="A21" s="5" t="s">
        <v>63</v>
      </c>
      <c r="B21" s="5" t="s">
        <v>66</v>
      </c>
      <c r="C21" s="5" t="s">
        <v>42</v>
      </c>
      <c r="D21" s="5" t="s">
        <v>22</v>
      </c>
      <c r="E21" s="6" t="str">
        <f t="shared" si="1"/>
        <v>WC.SUPPAE.QNAM.AETRTEM</v>
      </c>
      <c r="F21" s="5" t="s">
        <v>67</v>
      </c>
      <c r="G21" s="5" t="s">
        <v>23</v>
      </c>
      <c r="H21" s="5" t="s">
        <v>24</v>
      </c>
      <c r="J21" s="5" t="s">
        <v>68</v>
      </c>
      <c r="L21" s="5" t="s">
        <v>37</v>
      </c>
      <c r="N21" s="5" t="s">
        <v>69</v>
      </c>
    </row>
    <row r="22" spans="1:18">
      <c r="A22" s="5" t="s">
        <v>63</v>
      </c>
      <c r="B22" s="5" t="s">
        <v>70</v>
      </c>
      <c r="C22" s="5" t="s">
        <v>44</v>
      </c>
      <c r="D22" s="5" t="s">
        <v>22</v>
      </c>
      <c r="E22" s="6" t="str">
        <f t="shared" si="1"/>
        <v>WC.SUPPAE.QNAM.AESOSP</v>
      </c>
      <c r="G22" s="5" t="s">
        <v>23</v>
      </c>
      <c r="H22" s="5" t="s">
        <v>24</v>
      </c>
      <c r="J22" s="5" t="s">
        <v>25</v>
      </c>
      <c r="L22" s="5" t="s">
        <v>26</v>
      </c>
    </row>
    <row r="23" spans="1:18">
      <c r="A23" s="5" t="s">
        <v>71</v>
      </c>
      <c r="B23" s="5" t="s">
        <v>72</v>
      </c>
      <c r="C23" s="5" t="s">
        <v>34</v>
      </c>
      <c r="D23" s="5" t="s">
        <v>22</v>
      </c>
      <c r="E23" s="6" t="str">
        <f t="shared" ref="E23:E24" si="3">"WC"&amp;MID(B23,3,8)&amp;"QNAM"&amp;RIGHT(B23,LEN(B23)-14)</f>
        <v>WC.SUPPMH.QNAM.DICTNAME</v>
      </c>
      <c r="G23" s="5" t="s">
        <v>23</v>
      </c>
      <c r="H23" s="5" t="s">
        <v>24</v>
      </c>
      <c r="J23" s="5" t="s">
        <v>36</v>
      </c>
      <c r="L23" s="5" t="s">
        <v>37</v>
      </c>
    </row>
    <row r="24" spans="1:18">
      <c r="A24" s="5" t="s">
        <v>71</v>
      </c>
      <c r="B24" s="5" t="s">
        <v>73</v>
      </c>
      <c r="C24" s="5" t="s">
        <v>40</v>
      </c>
      <c r="D24" s="5" t="s">
        <v>22</v>
      </c>
      <c r="E24" s="6" t="str">
        <f t="shared" si="3"/>
        <v>WC.SUPPMH.QNAM.DICTVER</v>
      </c>
      <c r="G24" s="5" t="s">
        <v>23</v>
      </c>
      <c r="H24" s="5" t="s">
        <v>24</v>
      </c>
      <c r="J24" s="5" t="s">
        <v>36</v>
      </c>
      <c r="L24" s="5" t="s">
        <v>37</v>
      </c>
    </row>
    <row r="25" spans="1:18">
      <c r="A25" s="5" t="s">
        <v>74</v>
      </c>
      <c r="B25" s="5" t="s">
        <v>75</v>
      </c>
      <c r="C25" s="5" t="s">
        <v>34</v>
      </c>
      <c r="D25" s="5" t="s">
        <v>76</v>
      </c>
      <c r="E25" s="6" t="str">
        <f>"WC"&amp;MID(B25,3,4)&amp;"TSPARMCD"&amp;RIGHT(B25,LEN(B25)-11)</f>
        <v>WC.TS.TSPARMCD.ACTSUB</v>
      </c>
      <c r="G25" s="5" t="s">
        <v>77</v>
      </c>
      <c r="H25" s="5" t="s">
        <v>78</v>
      </c>
      <c r="J25" s="5" t="s">
        <v>79</v>
      </c>
      <c r="L25" s="5" t="s">
        <v>37</v>
      </c>
      <c r="Q25" s="5" t="s">
        <v>80</v>
      </c>
      <c r="R25" s="5" t="s">
        <v>80</v>
      </c>
    </row>
    <row r="26" spans="1:18">
      <c r="A26" s="5" t="s">
        <v>74</v>
      </c>
      <c r="B26" s="5" t="s">
        <v>81</v>
      </c>
      <c r="C26" s="5" t="s">
        <v>40</v>
      </c>
      <c r="D26" s="5" t="s">
        <v>76</v>
      </c>
      <c r="E26" s="6" t="str">
        <f t="shared" ref="E26:E75" si="4">"WC"&amp;MID(B26,3,4)&amp;"TSPARMCD"&amp;RIGHT(B26,LEN(B26)-11)</f>
        <v>WC.TS.TSPARMCD.ADAPT</v>
      </c>
      <c r="G26" s="5" t="s">
        <v>77</v>
      </c>
      <c r="H26" s="5" t="s">
        <v>82</v>
      </c>
      <c r="J26" s="5" t="s">
        <v>79</v>
      </c>
      <c r="L26" s="5" t="s">
        <v>37</v>
      </c>
      <c r="N26" s="5" t="s">
        <v>83</v>
      </c>
      <c r="Q26" s="5" t="s">
        <v>84</v>
      </c>
      <c r="R26" s="5" t="s">
        <v>84</v>
      </c>
    </row>
    <row r="27" spans="1:18">
      <c r="A27" s="5" t="s">
        <v>74</v>
      </c>
      <c r="B27" s="5" t="s">
        <v>85</v>
      </c>
      <c r="C27" s="5" t="s">
        <v>42</v>
      </c>
      <c r="D27" s="5" t="s">
        <v>76</v>
      </c>
      <c r="E27" s="6" t="str">
        <f t="shared" si="4"/>
        <v>WC.TS.TSPARMCD.ADDON</v>
      </c>
      <c r="G27" s="5" t="s">
        <v>77</v>
      </c>
      <c r="H27" s="5" t="s">
        <v>82</v>
      </c>
      <c r="J27" s="5" t="s">
        <v>79</v>
      </c>
      <c r="L27" s="5" t="s">
        <v>37</v>
      </c>
      <c r="N27" s="5" t="s">
        <v>83</v>
      </c>
      <c r="Q27" s="5" t="s">
        <v>86</v>
      </c>
      <c r="R27" s="5" t="s">
        <v>86</v>
      </c>
    </row>
    <row r="28" spans="1:18">
      <c r="A28" s="5" t="s">
        <v>74</v>
      </c>
      <c r="B28" s="5" t="s">
        <v>87</v>
      </c>
      <c r="C28" s="5" t="s">
        <v>44</v>
      </c>
      <c r="D28" s="5" t="s">
        <v>76</v>
      </c>
      <c r="E28" s="6" t="str">
        <f t="shared" ref="E28" si="5">"WC"&amp;MID(B28,3,4)&amp;"TSPARMCD"&amp;RIGHT(B28,LEN(B28)-11)</f>
        <v>WC.TS.TSPARMCD.AGEMAX</v>
      </c>
      <c r="G28" s="5" t="s">
        <v>77</v>
      </c>
      <c r="H28" s="5" t="s">
        <v>82</v>
      </c>
      <c r="J28" s="5" t="s">
        <v>79</v>
      </c>
      <c r="L28" s="5" t="s">
        <v>37</v>
      </c>
      <c r="Q28" s="5" t="s">
        <v>88</v>
      </c>
      <c r="R28" s="5" t="s">
        <v>88</v>
      </c>
    </row>
    <row r="29" spans="1:18">
      <c r="A29" s="5" t="s">
        <v>74</v>
      </c>
      <c r="B29" s="5" t="s">
        <v>89</v>
      </c>
      <c r="C29" s="5" t="s">
        <v>46</v>
      </c>
      <c r="D29" s="5" t="s">
        <v>76</v>
      </c>
      <c r="E29" s="6" t="str">
        <f t="shared" si="4"/>
        <v>WC.TS.TSPARMCD.AGEMIN</v>
      </c>
      <c r="G29" s="5" t="s">
        <v>77</v>
      </c>
      <c r="H29" s="5" t="s">
        <v>82</v>
      </c>
      <c r="J29" s="5" t="s">
        <v>79</v>
      </c>
      <c r="L29" s="5" t="s">
        <v>37</v>
      </c>
      <c r="Q29" s="5" t="s">
        <v>90</v>
      </c>
      <c r="R29" s="5" t="s">
        <v>90</v>
      </c>
    </row>
    <row r="30" spans="1:18">
      <c r="A30" s="5" t="s">
        <v>74</v>
      </c>
      <c r="B30" s="5" t="s">
        <v>91</v>
      </c>
      <c r="C30" s="5" t="s">
        <v>48</v>
      </c>
      <c r="D30" s="5" t="s">
        <v>76</v>
      </c>
      <c r="E30" s="6" t="str">
        <f t="shared" ref="E30" si="6">"WC"&amp;MID(B30,3,4)&amp;"TSPARMCD"&amp;RIGHT(B30,LEN(B30)-11)</f>
        <v>WC.TS.TSPARMCD.COMPTRT</v>
      </c>
      <c r="G30" s="5" t="s">
        <v>77</v>
      </c>
      <c r="H30" s="5" t="s">
        <v>82</v>
      </c>
      <c r="J30" s="5" t="s">
        <v>79</v>
      </c>
      <c r="L30" s="5" t="s">
        <v>37</v>
      </c>
      <c r="Q30" s="5" t="s">
        <v>92</v>
      </c>
      <c r="R30" s="5" t="s">
        <v>92</v>
      </c>
    </row>
    <row r="31" spans="1:18">
      <c r="A31" s="5" t="s">
        <v>74</v>
      </c>
      <c r="B31" s="5" t="s">
        <v>93</v>
      </c>
      <c r="C31" s="5" t="s">
        <v>50</v>
      </c>
      <c r="D31" s="5" t="s">
        <v>76</v>
      </c>
      <c r="E31" s="6" t="str">
        <f t="shared" si="4"/>
        <v>WC.TS.TSPARMCD.CURTRT</v>
      </c>
      <c r="G31" s="5" t="s">
        <v>77</v>
      </c>
      <c r="H31" s="5" t="s">
        <v>82</v>
      </c>
      <c r="J31" s="5" t="s">
        <v>79</v>
      </c>
      <c r="L31" s="5" t="s">
        <v>37</v>
      </c>
      <c r="Q31" s="5" t="s">
        <v>94</v>
      </c>
      <c r="R31" s="5" t="s">
        <v>94</v>
      </c>
    </row>
    <row r="32" spans="1:18">
      <c r="A32" s="5" t="s">
        <v>74</v>
      </c>
      <c r="B32" s="5" t="s">
        <v>95</v>
      </c>
      <c r="C32" s="5" t="s">
        <v>52</v>
      </c>
      <c r="D32" s="5" t="s">
        <v>76</v>
      </c>
      <c r="E32" s="6" t="str">
        <f t="shared" si="4"/>
        <v>WC.TS.TSPARMCD.DCUTDESC</v>
      </c>
      <c r="G32" s="5" t="s">
        <v>77</v>
      </c>
      <c r="H32" s="5" t="s">
        <v>82</v>
      </c>
      <c r="J32" s="5" t="s">
        <v>79</v>
      </c>
      <c r="L32" s="5" t="s">
        <v>37</v>
      </c>
      <c r="Q32" s="5" t="s">
        <v>96</v>
      </c>
      <c r="R32" s="5" t="s">
        <v>96</v>
      </c>
    </row>
    <row r="33" spans="1:18">
      <c r="A33" s="5" t="s">
        <v>74</v>
      </c>
      <c r="B33" s="5" t="s">
        <v>97</v>
      </c>
      <c r="C33" s="5" t="s">
        <v>54</v>
      </c>
      <c r="D33" s="5" t="s">
        <v>76</v>
      </c>
      <c r="E33" s="6" t="str">
        <f t="shared" si="4"/>
        <v>WC.TS.TSPARMCD.DCUTDTC</v>
      </c>
      <c r="G33" s="5" t="s">
        <v>77</v>
      </c>
      <c r="H33" s="5" t="s">
        <v>98</v>
      </c>
      <c r="J33" s="5" t="s">
        <v>79</v>
      </c>
      <c r="L33" s="5" t="s">
        <v>37</v>
      </c>
      <c r="P33" s="5" t="s">
        <v>99</v>
      </c>
      <c r="Q33" s="5" t="s">
        <v>100</v>
      </c>
      <c r="R33" s="5" t="s">
        <v>100</v>
      </c>
    </row>
    <row r="34" spans="1:18">
      <c r="A34" s="5" t="s">
        <v>74</v>
      </c>
      <c r="B34" s="5" t="s">
        <v>101</v>
      </c>
      <c r="C34" s="5" t="s">
        <v>56</v>
      </c>
      <c r="D34" s="5" t="s">
        <v>76</v>
      </c>
      <c r="E34" s="6" t="str">
        <f t="shared" si="4"/>
        <v>WC.TS.TSPARMCD.EXTTIND</v>
      </c>
      <c r="G34" s="5" t="s">
        <v>77</v>
      </c>
      <c r="H34" s="5" t="s">
        <v>82</v>
      </c>
      <c r="J34" s="5" t="s">
        <v>79</v>
      </c>
      <c r="L34" s="5" t="s">
        <v>37</v>
      </c>
      <c r="N34" s="5" t="s">
        <v>83</v>
      </c>
      <c r="Q34" s="5" t="s">
        <v>102</v>
      </c>
      <c r="R34" s="5" t="s">
        <v>102</v>
      </c>
    </row>
    <row r="35" spans="1:18">
      <c r="A35" s="5" t="s">
        <v>74</v>
      </c>
      <c r="B35" s="5" t="s">
        <v>103</v>
      </c>
      <c r="C35" s="5" t="s">
        <v>58</v>
      </c>
      <c r="D35" s="5" t="s">
        <v>76</v>
      </c>
      <c r="E35" s="6" t="str">
        <f t="shared" si="4"/>
        <v>WC.TS.TSPARMCD.FCNTRY</v>
      </c>
      <c r="G35" s="5" t="s">
        <v>77</v>
      </c>
      <c r="H35" s="5" t="s">
        <v>82</v>
      </c>
      <c r="J35" s="5" t="s">
        <v>79</v>
      </c>
      <c r="L35" s="5" t="s">
        <v>37</v>
      </c>
      <c r="N35" s="5" t="s">
        <v>104</v>
      </c>
      <c r="Q35" s="5" t="s">
        <v>105</v>
      </c>
      <c r="R35" s="5" t="s">
        <v>105</v>
      </c>
    </row>
    <row r="36" spans="1:18">
      <c r="A36" s="5" t="s">
        <v>74</v>
      </c>
      <c r="B36" s="5" t="s">
        <v>106</v>
      </c>
      <c r="C36" s="5" t="s">
        <v>60</v>
      </c>
      <c r="D36" s="5" t="s">
        <v>76</v>
      </c>
      <c r="E36" s="6" t="str">
        <f t="shared" si="4"/>
        <v>WC.TS.TSPARMCD.HLTSUBJI</v>
      </c>
      <c r="G36" s="5" t="s">
        <v>77</v>
      </c>
      <c r="H36" s="5" t="s">
        <v>82</v>
      </c>
      <c r="J36" s="5" t="s">
        <v>79</v>
      </c>
      <c r="L36" s="5" t="s">
        <v>37</v>
      </c>
      <c r="N36" s="5" t="s">
        <v>83</v>
      </c>
      <c r="Q36" s="5" t="s">
        <v>107</v>
      </c>
      <c r="R36" s="5" t="s">
        <v>107</v>
      </c>
    </row>
    <row r="37" spans="1:18">
      <c r="A37" s="5" t="s">
        <v>74</v>
      </c>
      <c r="B37" s="5" t="s">
        <v>108</v>
      </c>
      <c r="C37" s="5" t="s">
        <v>62</v>
      </c>
      <c r="D37" s="5" t="s">
        <v>76</v>
      </c>
      <c r="E37" s="6" t="str">
        <f t="shared" si="4"/>
        <v>WC.TS.TSPARMCD.INDIC</v>
      </c>
      <c r="G37" s="5" t="s">
        <v>77</v>
      </c>
      <c r="H37" s="5" t="s">
        <v>82</v>
      </c>
      <c r="J37" s="5" t="s">
        <v>79</v>
      </c>
      <c r="L37" s="5" t="s">
        <v>37</v>
      </c>
      <c r="Q37" s="5" t="s">
        <v>109</v>
      </c>
      <c r="R37" s="5" t="s">
        <v>109</v>
      </c>
    </row>
    <row r="38" spans="1:18">
      <c r="A38" s="5" t="s">
        <v>74</v>
      </c>
      <c r="B38" s="5" t="s">
        <v>110</v>
      </c>
      <c r="C38" s="5" t="s">
        <v>111</v>
      </c>
      <c r="D38" s="5" t="s">
        <v>76</v>
      </c>
      <c r="E38" s="6" t="str">
        <f t="shared" si="4"/>
        <v>WC.TS.TSPARMCD.INTMODEL</v>
      </c>
      <c r="G38" s="5" t="s">
        <v>77</v>
      </c>
      <c r="H38" s="5" t="s">
        <v>82</v>
      </c>
      <c r="J38" s="5" t="s">
        <v>79</v>
      </c>
      <c r="L38" s="5" t="s">
        <v>37</v>
      </c>
      <c r="N38" s="5" t="s">
        <v>112</v>
      </c>
      <c r="Q38" s="5" t="s">
        <v>113</v>
      </c>
      <c r="R38" s="5" t="s">
        <v>113</v>
      </c>
    </row>
    <row r="39" spans="1:18">
      <c r="A39" s="5" t="s">
        <v>74</v>
      </c>
      <c r="B39" s="5" t="s">
        <v>114</v>
      </c>
      <c r="C39" s="5" t="s">
        <v>115</v>
      </c>
      <c r="D39" s="5" t="s">
        <v>76</v>
      </c>
      <c r="E39" s="6" t="str">
        <f t="shared" si="4"/>
        <v>WC.TS.TSPARMCD.INTTYPE</v>
      </c>
      <c r="G39" s="5" t="s">
        <v>77</v>
      </c>
      <c r="H39" s="5" t="s">
        <v>82</v>
      </c>
      <c r="J39" s="5" t="s">
        <v>79</v>
      </c>
      <c r="L39" s="5" t="s">
        <v>37</v>
      </c>
      <c r="N39" s="5" t="s">
        <v>116</v>
      </c>
      <c r="Q39" s="5" t="s">
        <v>117</v>
      </c>
      <c r="R39" s="5" t="s">
        <v>117</v>
      </c>
    </row>
    <row r="40" spans="1:18">
      <c r="A40" s="5" t="s">
        <v>74</v>
      </c>
      <c r="B40" s="5" t="s">
        <v>118</v>
      </c>
      <c r="C40" s="5" t="s">
        <v>119</v>
      </c>
      <c r="D40" s="5" t="s">
        <v>76</v>
      </c>
      <c r="E40" s="6" t="str">
        <f t="shared" si="4"/>
        <v>WC.TS.TSPARMCD.LENGTH</v>
      </c>
      <c r="G40" s="5" t="s">
        <v>77</v>
      </c>
      <c r="H40" s="5" t="s">
        <v>82</v>
      </c>
      <c r="J40" s="5" t="s">
        <v>79</v>
      </c>
      <c r="L40" s="5" t="s">
        <v>37</v>
      </c>
      <c r="Q40" s="5" t="s">
        <v>120</v>
      </c>
      <c r="R40" s="5" t="s">
        <v>120</v>
      </c>
    </row>
    <row r="41" spans="1:18">
      <c r="A41" s="5" t="s">
        <v>74</v>
      </c>
      <c r="B41" s="5" t="s">
        <v>121</v>
      </c>
      <c r="C41" s="5" t="s">
        <v>122</v>
      </c>
      <c r="D41" s="5" t="s">
        <v>76</v>
      </c>
      <c r="E41" s="6" t="str">
        <f t="shared" si="4"/>
        <v>WC.TS.TSPARMCD.NARMS</v>
      </c>
      <c r="G41" s="5" t="s">
        <v>77</v>
      </c>
      <c r="H41" s="5" t="s">
        <v>78</v>
      </c>
      <c r="J41" s="5" t="s">
        <v>79</v>
      </c>
      <c r="L41" s="5" t="s">
        <v>37</v>
      </c>
      <c r="Q41" s="5" t="s">
        <v>123</v>
      </c>
      <c r="R41" s="5" t="s">
        <v>123</v>
      </c>
    </row>
    <row r="42" spans="1:18">
      <c r="A42" s="5" t="s">
        <v>74</v>
      </c>
      <c r="B42" s="5" t="s">
        <v>124</v>
      </c>
      <c r="C42" s="5" t="s">
        <v>125</v>
      </c>
      <c r="D42" s="5" t="s">
        <v>76</v>
      </c>
      <c r="E42" s="6" t="str">
        <f t="shared" ref="E42" si="7">"WC"&amp;MID(B42,3,4)&amp;"TSPARMCD"&amp;RIGHT(B42,LEN(B42)-11)</f>
        <v>WC.TS.TSPARMCD.NCOHORT</v>
      </c>
      <c r="G42" s="5" t="s">
        <v>77</v>
      </c>
      <c r="H42" s="5" t="s">
        <v>78</v>
      </c>
      <c r="J42" s="5" t="s">
        <v>79</v>
      </c>
      <c r="L42" s="5" t="s">
        <v>37</v>
      </c>
      <c r="Q42" s="5" t="s">
        <v>126</v>
      </c>
      <c r="R42" s="5" t="s">
        <v>126</v>
      </c>
    </row>
    <row r="43" spans="1:18">
      <c r="A43" s="5" t="s">
        <v>74</v>
      </c>
      <c r="B43" s="5" t="s">
        <v>127</v>
      </c>
      <c r="C43" s="5" t="s">
        <v>128</v>
      </c>
      <c r="D43" s="5" t="s">
        <v>76</v>
      </c>
      <c r="E43" s="6" t="str">
        <f t="shared" si="4"/>
        <v>WC.TS.TSPARMCD.OBJPRIM</v>
      </c>
      <c r="G43" s="5" t="s">
        <v>77</v>
      </c>
      <c r="H43" s="5" t="s">
        <v>82</v>
      </c>
      <c r="J43" s="5" t="s">
        <v>79</v>
      </c>
      <c r="L43" s="5" t="s">
        <v>37</v>
      </c>
      <c r="Q43" s="5" t="s">
        <v>129</v>
      </c>
      <c r="R43" s="5" t="s">
        <v>129</v>
      </c>
    </row>
    <row r="44" spans="1:18">
      <c r="A44" s="5" t="s">
        <v>74</v>
      </c>
      <c r="B44" s="5" t="s">
        <v>130</v>
      </c>
      <c r="C44" s="5" t="s">
        <v>131</v>
      </c>
      <c r="D44" s="5" t="s">
        <v>76</v>
      </c>
      <c r="E44" s="6" t="str">
        <f t="shared" si="4"/>
        <v>WC.TS.TSPARMCD.OBJSEC</v>
      </c>
      <c r="G44" s="5" t="s">
        <v>77</v>
      </c>
      <c r="H44" s="5" t="s">
        <v>82</v>
      </c>
      <c r="J44" s="5" t="s">
        <v>79</v>
      </c>
      <c r="L44" s="5" t="s">
        <v>37</v>
      </c>
      <c r="Q44" s="5" t="s">
        <v>132</v>
      </c>
      <c r="R44" s="5" t="s">
        <v>132</v>
      </c>
    </row>
    <row r="45" spans="1:18">
      <c r="A45" s="5" t="s">
        <v>74</v>
      </c>
      <c r="B45" s="5" t="s">
        <v>133</v>
      </c>
      <c r="C45" s="5" t="s">
        <v>134</v>
      </c>
      <c r="D45" s="5" t="s">
        <v>76</v>
      </c>
      <c r="E45" s="6" t="str">
        <f t="shared" ref="E45" si="8">"WC"&amp;MID(B45,3,4)&amp;"TSPARMCD"&amp;RIGHT(B45,LEN(B45)-11)</f>
        <v>WC.TS.TSPARMCD.OBJEXP</v>
      </c>
      <c r="G45" s="5" t="s">
        <v>77</v>
      </c>
      <c r="H45" s="5" t="s">
        <v>82</v>
      </c>
      <c r="J45" s="5" t="s">
        <v>79</v>
      </c>
      <c r="L45" s="5" t="s">
        <v>37</v>
      </c>
      <c r="Q45" s="5" t="s">
        <v>135</v>
      </c>
      <c r="R45" s="5" t="s">
        <v>135</v>
      </c>
    </row>
    <row r="46" spans="1:18">
      <c r="A46" s="5" t="s">
        <v>74</v>
      </c>
      <c r="B46" s="5" t="s">
        <v>136</v>
      </c>
      <c r="C46" s="5" t="s">
        <v>137</v>
      </c>
      <c r="D46" s="5" t="s">
        <v>76</v>
      </c>
      <c r="E46" s="6" t="str">
        <f t="shared" si="4"/>
        <v>WC.TS.TSPARMCD.OUTMSPRI</v>
      </c>
      <c r="G46" s="5" t="s">
        <v>77</v>
      </c>
      <c r="H46" s="5" t="s">
        <v>82</v>
      </c>
      <c r="J46" s="5" t="s">
        <v>79</v>
      </c>
      <c r="L46" s="5" t="s">
        <v>37</v>
      </c>
      <c r="Q46" s="5" t="s">
        <v>138</v>
      </c>
      <c r="R46" s="5" t="s">
        <v>138</v>
      </c>
    </row>
    <row r="47" spans="1:18">
      <c r="A47" s="5" t="s">
        <v>74</v>
      </c>
      <c r="B47" s="5" t="s">
        <v>139</v>
      </c>
      <c r="C47" s="5" t="s">
        <v>140</v>
      </c>
      <c r="D47" s="5" t="s">
        <v>76</v>
      </c>
      <c r="E47" s="6" t="str">
        <f t="shared" si="4"/>
        <v>WC.TS.TSPARMCD.OUTMSSEC</v>
      </c>
      <c r="G47" s="5" t="s">
        <v>77</v>
      </c>
      <c r="H47" s="5" t="s">
        <v>82</v>
      </c>
      <c r="J47" s="5" t="s">
        <v>79</v>
      </c>
      <c r="L47" s="5" t="s">
        <v>37</v>
      </c>
      <c r="Q47" s="5" t="s">
        <v>141</v>
      </c>
      <c r="R47" s="5" t="s">
        <v>141</v>
      </c>
    </row>
    <row r="48" spans="1:18">
      <c r="A48" s="5" t="s">
        <v>74</v>
      </c>
      <c r="B48" s="5" t="s">
        <v>142</v>
      </c>
      <c r="C48" s="5" t="s">
        <v>143</v>
      </c>
      <c r="D48" s="5" t="s">
        <v>76</v>
      </c>
      <c r="E48" s="6" t="str">
        <f t="shared" ref="E48" si="9">"WC"&amp;MID(B48,3,4)&amp;"TSPARMCD"&amp;RIGHT(B48,LEN(B48)-11)</f>
        <v>WC.TS.TSPARMCD.OUTMSEXP</v>
      </c>
      <c r="G48" s="5" t="s">
        <v>77</v>
      </c>
      <c r="H48" s="5" t="s">
        <v>82</v>
      </c>
      <c r="J48" s="5" t="s">
        <v>79</v>
      </c>
      <c r="L48" s="5" t="s">
        <v>37</v>
      </c>
      <c r="Q48" s="5" t="s">
        <v>144</v>
      </c>
      <c r="R48" s="5" t="s">
        <v>144</v>
      </c>
    </row>
    <row r="49" spans="1:18">
      <c r="A49" s="5" t="s">
        <v>74</v>
      </c>
      <c r="B49" s="5" t="s">
        <v>145</v>
      </c>
      <c r="C49" s="5" t="s">
        <v>146</v>
      </c>
      <c r="D49" s="5" t="s">
        <v>76</v>
      </c>
      <c r="E49" s="6" t="str">
        <f t="shared" si="4"/>
        <v>WC.TS.TSPARMCD.PCLAS</v>
      </c>
      <c r="G49" s="5" t="s">
        <v>77</v>
      </c>
      <c r="H49" s="5" t="s">
        <v>82</v>
      </c>
      <c r="J49" s="5" t="s">
        <v>79</v>
      </c>
      <c r="L49" s="5" t="s">
        <v>37</v>
      </c>
      <c r="Q49" s="5" t="s">
        <v>147</v>
      </c>
      <c r="R49" s="5" t="s">
        <v>147</v>
      </c>
    </row>
    <row r="50" spans="1:18">
      <c r="A50" s="5" t="s">
        <v>74</v>
      </c>
      <c r="B50" s="5" t="s">
        <v>148</v>
      </c>
      <c r="C50" s="5" t="s">
        <v>149</v>
      </c>
      <c r="D50" s="5" t="s">
        <v>76</v>
      </c>
      <c r="E50" s="6" t="str">
        <f t="shared" si="4"/>
        <v>WC.TS.TSPARMCD.PLANSUB</v>
      </c>
      <c r="G50" s="5" t="s">
        <v>77</v>
      </c>
      <c r="H50" s="5" t="s">
        <v>78</v>
      </c>
      <c r="J50" s="5" t="s">
        <v>79</v>
      </c>
      <c r="L50" s="5" t="s">
        <v>37</v>
      </c>
      <c r="Q50" s="5" t="s">
        <v>150</v>
      </c>
      <c r="R50" s="5" t="s">
        <v>150</v>
      </c>
    </row>
    <row r="51" spans="1:18">
      <c r="A51" s="5" t="s">
        <v>74</v>
      </c>
      <c r="B51" s="5" t="s">
        <v>151</v>
      </c>
      <c r="C51" s="5" t="s">
        <v>152</v>
      </c>
      <c r="D51" s="5" t="s">
        <v>76</v>
      </c>
      <c r="E51" s="6" t="str">
        <f t="shared" si="4"/>
        <v>WC.TS.TSPARMCD.PDPSTIND</v>
      </c>
      <c r="G51" s="5" t="s">
        <v>77</v>
      </c>
      <c r="H51" s="5" t="s">
        <v>82</v>
      </c>
      <c r="J51" s="5" t="s">
        <v>79</v>
      </c>
      <c r="L51" s="5" t="s">
        <v>37</v>
      </c>
      <c r="N51" s="5" t="s">
        <v>83</v>
      </c>
      <c r="Q51" s="5" t="s">
        <v>153</v>
      </c>
      <c r="R51" s="5" t="s">
        <v>153</v>
      </c>
    </row>
    <row r="52" spans="1:18">
      <c r="A52" s="5" t="s">
        <v>74</v>
      </c>
      <c r="B52" s="5" t="s">
        <v>154</v>
      </c>
      <c r="C52" s="5" t="s">
        <v>155</v>
      </c>
      <c r="D52" s="5" t="s">
        <v>76</v>
      </c>
      <c r="E52" s="6" t="str">
        <f t="shared" si="4"/>
        <v>WC.TS.TSPARMCD.PDSTIND</v>
      </c>
      <c r="G52" s="5" t="s">
        <v>77</v>
      </c>
      <c r="H52" s="5" t="s">
        <v>82</v>
      </c>
      <c r="J52" s="5" t="s">
        <v>79</v>
      </c>
      <c r="L52" s="5" t="s">
        <v>37</v>
      </c>
      <c r="N52" s="5" t="s">
        <v>83</v>
      </c>
      <c r="Q52" s="5" t="s">
        <v>156</v>
      </c>
      <c r="R52" s="5" t="s">
        <v>156</v>
      </c>
    </row>
    <row r="53" spans="1:18">
      <c r="A53" s="5" t="s">
        <v>74</v>
      </c>
      <c r="B53" s="5" t="s">
        <v>157</v>
      </c>
      <c r="C53" s="5" t="s">
        <v>158</v>
      </c>
      <c r="D53" s="5" t="s">
        <v>76</v>
      </c>
      <c r="E53" s="6" t="str">
        <f t="shared" si="4"/>
        <v>WC.TS.TSPARMCD.PIPIND</v>
      </c>
      <c r="G53" s="5" t="s">
        <v>77</v>
      </c>
      <c r="H53" s="5" t="s">
        <v>82</v>
      </c>
      <c r="J53" s="5" t="s">
        <v>79</v>
      </c>
      <c r="L53" s="5" t="s">
        <v>37</v>
      </c>
      <c r="N53" s="5" t="s">
        <v>83</v>
      </c>
      <c r="Q53" s="5" t="s">
        <v>159</v>
      </c>
      <c r="R53" s="5" t="s">
        <v>159</v>
      </c>
    </row>
    <row r="54" spans="1:18">
      <c r="A54" s="5" t="s">
        <v>74</v>
      </c>
      <c r="B54" s="5" t="s">
        <v>160</v>
      </c>
      <c r="C54" s="5" t="s">
        <v>161</v>
      </c>
      <c r="D54" s="5" t="s">
        <v>76</v>
      </c>
      <c r="E54" s="6" t="str">
        <f t="shared" si="4"/>
        <v>WC.TS.TSPARMCD.RANDOM</v>
      </c>
      <c r="G54" s="5" t="s">
        <v>77</v>
      </c>
      <c r="H54" s="5" t="s">
        <v>82</v>
      </c>
      <c r="J54" s="5" t="s">
        <v>79</v>
      </c>
      <c r="L54" s="5" t="s">
        <v>37</v>
      </c>
      <c r="N54" s="5" t="s">
        <v>83</v>
      </c>
      <c r="Q54" s="5" t="s">
        <v>162</v>
      </c>
      <c r="R54" s="5" t="s">
        <v>162</v>
      </c>
    </row>
    <row r="55" spans="1:18">
      <c r="A55" s="5" t="s">
        <v>74</v>
      </c>
      <c r="B55" s="5" t="s">
        <v>163</v>
      </c>
      <c r="C55" s="5" t="s">
        <v>164</v>
      </c>
      <c r="D55" s="5" t="s">
        <v>76</v>
      </c>
      <c r="E55" s="6" t="str">
        <f t="shared" ref="E55" si="10">"WC"&amp;MID(B55,3,4)&amp;"TSPARMCD"&amp;RIGHT(B55,LEN(B55)-11)</f>
        <v>WC.TS.TSPARMCD.RANDQT</v>
      </c>
      <c r="G55" s="5" t="s">
        <v>77</v>
      </c>
      <c r="H55" s="5" t="s">
        <v>165</v>
      </c>
      <c r="J55" s="5" t="s">
        <v>79</v>
      </c>
      <c r="L55" s="5" t="s">
        <v>37</v>
      </c>
      <c r="Q55" s="5" t="s">
        <v>166</v>
      </c>
      <c r="R55" s="5" t="s">
        <v>166</v>
      </c>
    </row>
    <row r="56" spans="1:18">
      <c r="A56" s="5" t="s">
        <v>74</v>
      </c>
      <c r="B56" s="5" t="s">
        <v>167</v>
      </c>
      <c r="C56" s="5" t="s">
        <v>168</v>
      </c>
      <c r="D56" s="5" t="s">
        <v>76</v>
      </c>
      <c r="E56" s="6" t="str">
        <f>"WC"&amp;MID(B56,3,4)&amp;"TSPARMCD"&amp;RIGHT(B56,LEN(B56)-11)</f>
        <v>WC.TS.TSPARMCD.RDIND</v>
      </c>
      <c r="G56" s="5" t="s">
        <v>77</v>
      </c>
      <c r="H56" s="5" t="s">
        <v>82</v>
      </c>
      <c r="J56" s="5" t="s">
        <v>79</v>
      </c>
      <c r="L56" s="5" t="s">
        <v>37</v>
      </c>
      <c r="N56" s="5" t="s">
        <v>83</v>
      </c>
      <c r="Q56" s="5" t="s">
        <v>169</v>
      </c>
      <c r="R56" s="5" t="s">
        <v>169</v>
      </c>
    </row>
    <row r="57" spans="1:18">
      <c r="A57" s="5" t="s">
        <v>74</v>
      </c>
      <c r="B57" s="5" t="s">
        <v>170</v>
      </c>
      <c r="C57" s="5" t="s">
        <v>171</v>
      </c>
      <c r="D57" s="5" t="s">
        <v>76</v>
      </c>
      <c r="E57" s="6" t="str">
        <f t="shared" si="4"/>
        <v>WC.TS.TSPARMCD.REGID</v>
      </c>
      <c r="G57" s="5" t="s">
        <v>77</v>
      </c>
      <c r="H57" s="5" t="s">
        <v>82</v>
      </c>
      <c r="J57" s="5" t="s">
        <v>79</v>
      </c>
      <c r="L57" s="5" t="s">
        <v>37</v>
      </c>
      <c r="Q57" s="5" t="s">
        <v>172</v>
      </c>
      <c r="R57" s="5" t="s">
        <v>172</v>
      </c>
    </row>
    <row r="58" spans="1:18">
      <c r="A58" s="5" t="s">
        <v>74</v>
      </c>
      <c r="B58" s="5" t="s">
        <v>173</v>
      </c>
      <c r="C58" s="5" t="s">
        <v>174</v>
      </c>
      <c r="D58" s="5" t="s">
        <v>76</v>
      </c>
      <c r="E58" s="6" t="str">
        <f>"WC"&amp;MID(B58,3,4)&amp;"TSPARMCD"&amp;RIGHT(B58,LEN(B58)-11)</f>
        <v>WC.TS.TSPARMCD.SDTIGVER</v>
      </c>
      <c r="G58" s="5" t="s">
        <v>77</v>
      </c>
      <c r="H58" s="5" t="s">
        <v>175</v>
      </c>
      <c r="J58" s="5" t="s">
        <v>79</v>
      </c>
      <c r="L58" s="5" t="s">
        <v>37</v>
      </c>
      <c r="O58" s="5" t="s">
        <v>34</v>
      </c>
      <c r="Q58" s="5" t="s">
        <v>176</v>
      </c>
      <c r="R58" s="5" t="s">
        <v>176</v>
      </c>
    </row>
    <row r="59" spans="1:18">
      <c r="A59" s="5" t="s">
        <v>74</v>
      </c>
      <c r="B59" s="5" t="s">
        <v>177</v>
      </c>
      <c r="C59" s="5" t="s">
        <v>178</v>
      </c>
      <c r="D59" s="5" t="s">
        <v>76</v>
      </c>
      <c r="E59" s="6" t="str">
        <f>"WC"&amp;MID(B59,3,4)&amp;"TSPARMCD"&amp;RIGHT(B59,LEN(B59)-11)</f>
        <v>WC.TS.TSPARMCD.SDTMVER</v>
      </c>
      <c r="G59" s="5" t="s">
        <v>77</v>
      </c>
      <c r="H59" s="5" t="s">
        <v>175</v>
      </c>
      <c r="J59" s="5" t="s">
        <v>79</v>
      </c>
      <c r="L59" s="5" t="s">
        <v>37</v>
      </c>
      <c r="O59" s="5" t="s">
        <v>34</v>
      </c>
      <c r="Q59" s="5" t="s">
        <v>179</v>
      </c>
      <c r="R59" s="5" t="s">
        <v>179</v>
      </c>
    </row>
    <row r="60" spans="1:18">
      <c r="A60" s="5" t="s">
        <v>74</v>
      </c>
      <c r="B60" s="5" t="s">
        <v>180</v>
      </c>
      <c r="C60" s="5" t="s">
        <v>181</v>
      </c>
      <c r="D60" s="5" t="s">
        <v>76</v>
      </c>
      <c r="E60" s="6" t="str">
        <f t="shared" si="4"/>
        <v>WC.TS.TSPARMCD.SENDTC</v>
      </c>
      <c r="G60" s="5" t="s">
        <v>77</v>
      </c>
      <c r="H60" s="5" t="s">
        <v>98</v>
      </c>
      <c r="J60" s="5" t="s">
        <v>79</v>
      </c>
      <c r="L60" s="5" t="s">
        <v>37</v>
      </c>
      <c r="P60" s="5" t="s">
        <v>99</v>
      </c>
      <c r="Q60" s="5" t="s">
        <v>182</v>
      </c>
      <c r="R60" s="5" t="s">
        <v>182</v>
      </c>
    </row>
    <row r="61" spans="1:18">
      <c r="A61" s="5" t="s">
        <v>74</v>
      </c>
      <c r="B61" s="5" t="s">
        <v>183</v>
      </c>
      <c r="C61" s="5" t="s">
        <v>184</v>
      </c>
      <c r="D61" s="5" t="s">
        <v>76</v>
      </c>
      <c r="E61" s="6" t="str">
        <f t="shared" si="4"/>
        <v>WC.TS.TSPARMCD.SEXPOP</v>
      </c>
      <c r="G61" s="5" t="s">
        <v>77</v>
      </c>
      <c r="H61" s="5" t="s">
        <v>82</v>
      </c>
      <c r="J61" s="5" t="s">
        <v>79</v>
      </c>
      <c r="L61" s="5" t="s">
        <v>37</v>
      </c>
      <c r="N61" s="5" t="s">
        <v>185</v>
      </c>
      <c r="Q61" s="5" t="s">
        <v>186</v>
      </c>
      <c r="R61" s="5" t="s">
        <v>186</v>
      </c>
    </row>
    <row r="62" spans="1:18">
      <c r="A62" s="5" t="s">
        <v>74</v>
      </c>
      <c r="B62" s="5" t="s">
        <v>187</v>
      </c>
      <c r="C62" s="5" t="s">
        <v>188</v>
      </c>
      <c r="D62" s="5" t="s">
        <v>76</v>
      </c>
      <c r="E62" s="6" t="str">
        <f t="shared" si="4"/>
        <v>WC.TS.TSPARMCD.SPONSOR</v>
      </c>
      <c r="G62" s="5" t="s">
        <v>77</v>
      </c>
      <c r="H62" s="5" t="s">
        <v>82</v>
      </c>
      <c r="J62" s="5" t="s">
        <v>79</v>
      </c>
      <c r="L62" s="5" t="s">
        <v>37</v>
      </c>
      <c r="Q62" s="5" t="s">
        <v>189</v>
      </c>
      <c r="R62" s="5" t="s">
        <v>189</v>
      </c>
    </row>
    <row r="63" spans="1:18">
      <c r="A63" s="5" t="s">
        <v>74</v>
      </c>
      <c r="B63" s="5" t="s">
        <v>190</v>
      </c>
      <c r="C63" s="5" t="s">
        <v>191</v>
      </c>
      <c r="D63" s="5" t="s">
        <v>76</v>
      </c>
      <c r="E63" s="6" t="str">
        <f t="shared" si="4"/>
        <v>WC.TS.TSPARMCD.SSTDTC</v>
      </c>
      <c r="G63" s="5" t="s">
        <v>77</v>
      </c>
      <c r="H63" s="5" t="s">
        <v>98</v>
      </c>
      <c r="J63" s="5" t="s">
        <v>79</v>
      </c>
      <c r="L63" s="5" t="s">
        <v>37</v>
      </c>
      <c r="P63" s="5" t="s">
        <v>99</v>
      </c>
      <c r="Q63" s="5" t="s">
        <v>192</v>
      </c>
      <c r="R63" s="5" t="s">
        <v>192</v>
      </c>
    </row>
    <row r="64" spans="1:18">
      <c r="A64" s="5" t="s">
        <v>74</v>
      </c>
      <c r="B64" s="5" t="s">
        <v>193</v>
      </c>
      <c r="C64" s="5" t="s">
        <v>194</v>
      </c>
      <c r="D64" s="5" t="s">
        <v>76</v>
      </c>
      <c r="E64" s="6" t="str">
        <f t="shared" ref="E64:E65" si="11">"WC"&amp;MID(B64,3,4)&amp;"TSPARMCD"&amp;RIGHT(B64,LEN(B64)-11)</f>
        <v>WC.TS.TSPARMCD.STOPRULE</v>
      </c>
      <c r="G64" s="5" t="s">
        <v>77</v>
      </c>
      <c r="H64" s="5" t="s">
        <v>82</v>
      </c>
      <c r="J64" s="5" t="s">
        <v>79</v>
      </c>
      <c r="L64" s="5" t="s">
        <v>37</v>
      </c>
      <c r="Q64" s="5" t="s">
        <v>195</v>
      </c>
      <c r="R64" s="5" t="s">
        <v>195</v>
      </c>
    </row>
    <row r="65" spans="1:18">
      <c r="A65" s="5" t="s">
        <v>74</v>
      </c>
      <c r="B65" s="5" t="s">
        <v>196</v>
      </c>
      <c r="C65" s="5" t="s">
        <v>197</v>
      </c>
      <c r="D65" s="5" t="s">
        <v>76</v>
      </c>
      <c r="E65" s="6" t="str">
        <f t="shared" si="11"/>
        <v>WC.TS.TSPARMCD.STRATFCT</v>
      </c>
      <c r="G65" s="5" t="s">
        <v>77</v>
      </c>
      <c r="H65" s="5" t="s">
        <v>82</v>
      </c>
      <c r="J65" s="5" t="s">
        <v>79</v>
      </c>
      <c r="L65" s="5" t="s">
        <v>37</v>
      </c>
      <c r="Q65" s="5" t="s">
        <v>198</v>
      </c>
      <c r="R65" s="5" t="s">
        <v>198</v>
      </c>
    </row>
    <row r="66" spans="1:18">
      <c r="A66" s="5" t="s">
        <v>74</v>
      </c>
      <c r="B66" s="5" t="s">
        <v>199</v>
      </c>
      <c r="C66" s="5" t="s">
        <v>200</v>
      </c>
      <c r="D66" s="5" t="s">
        <v>76</v>
      </c>
      <c r="E66" s="6" t="str">
        <f t="shared" si="4"/>
        <v>WC.TS.TSPARMCD.STYPE</v>
      </c>
      <c r="G66" s="5" t="s">
        <v>77</v>
      </c>
      <c r="H66" s="5" t="s">
        <v>82</v>
      </c>
      <c r="J66" s="5" t="s">
        <v>79</v>
      </c>
      <c r="L66" s="5" t="s">
        <v>37</v>
      </c>
      <c r="N66" s="5" t="s">
        <v>201</v>
      </c>
      <c r="Q66" s="5" t="s">
        <v>202</v>
      </c>
      <c r="R66" s="5" t="s">
        <v>202</v>
      </c>
    </row>
    <row r="67" spans="1:18">
      <c r="A67" s="5" t="s">
        <v>74</v>
      </c>
      <c r="B67" s="5" t="s">
        <v>203</v>
      </c>
      <c r="C67" s="5" t="s">
        <v>204</v>
      </c>
      <c r="D67" s="5" t="s">
        <v>76</v>
      </c>
      <c r="E67" s="6" t="str">
        <f t="shared" si="4"/>
        <v>WC.TS.TSPARMCD.TBLIND</v>
      </c>
      <c r="G67" s="5" t="s">
        <v>77</v>
      </c>
      <c r="H67" s="5" t="s">
        <v>82</v>
      </c>
      <c r="J67" s="5" t="s">
        <v>79</v>
      </c>
      <c r="L67" s="5" t="s">
        <v>37</v>
      </c>
      <c r="N67" s="5" t="s">
        <v>205</v>
      </c>
      <c r="Q67" s="5" t="s">
        <v>206</v>
      </c>
      <c r="R67" s="5" t="s">
        <v>206</v>
      </c>
    </row>
    <row r="68" spans="1:18">
      <c r="A68" s="5" t="s">
        <v>74</v>
      </c>
      <c r="B68" s="5" t="s">
        <v>207</v>
      </c>
      <c r="C68" s="5" t="s">
        <v>208</v>
      </c>
      <c r="D68" s="5" t="s">
        <v>76</v>
      </c>
      <c r="E68" s="6" t="str">
        <f t="shared" ref="E68" si="12">"WC"&amp;MID(B68,3,4)&amp;"TSPARMCD"&amp;RIGHT(B68,LEN(B68)-11)</f>
        <v>WC.TS.TSPARMCD.TCNTRL</v>
      </c>
      <c r="G68" s="5" t="s">
        <v>77</v>
      </c>
      <c r="H68" s="5" t="s">
        <v>82</v>
      </c>
      <c r="J68" s="5" t="s">
        <v>79</v>
      </c>
      <c r="L68" s="5" t="s">
        <v>37</v>
      </c>
      <c r="N68" s="5" t="s">
        <v>209</v>
      </c>
      <c r="Q68" s="5" t="s">
        <v>210</v>
      </c>
      <c r="R68" s="5" t="s">
        <v>210</v>
      </c>
    </row>
    <row r="69" spans="1:18">
      <c r="A69" s="5" t="s">
        <v>74</v>
      </c>
      <c r="B69" s="5" t="s">
        <v>211</v>
      </c>
      <c r="C69" s="5" t="s">
        <v>212</v>
      </c>
      <c r="D69" s="5" t="s">
        <v>76</v>
      </c>
      <c r="E69" s="6" t="str">
        <f t="shared" si="4"/>
        <v>WC.TS.TSPARMCD.TDIGRP</v>
      </c>
      <c r="G69" s="5" t="s">
        <v>77</v>
      </c>
      <c r="H69" s="5" t="s">
        <v>82</v>
      </c>
      <c r="J69" s="5" t="s">
        <v>79</v>
      </c>
      <c r="L69" s="5" t="s">
        <v>37</v>
      </c>
      <c r="Q69" s="5" t="s">
        <v>213</v>
      </c>
      <c r="R69" s="5" t="s">
        <v>213</v>
      </c>
    </row>
    <row r="70" spans="1:18">
      <c r="A70" s="5" t="s">
        <v>74</v>
      </c>
      <c r="B70" s="5" t="s">
        <v>214</v>
      </c>
      <c r="C70" s="5" t="s">
        <v>215</v>
      </c>
      <c r="D70" s="5" t="s">
        <v>76</v>
      </c>
      <c r="E70" s="6" t="str">
        <f>"WC"&amp;MID(B70,3,4)&amp;"TSPARMCD"&amp;RIGHT(B70,LEN(B70)-11)</f>
        <v>WC.TS.TSPARMCD.THERAREA</v>
      </c>
      <c r="G70" s="5" t="s">
        <v>77</v>
      </c>
      <c r="H70" s="5" t="s">
        <v>82</v>
      </c>
      <c r="J70" s="5" t="s">
        <v>79</v>
      </c>
      <c r="L70" s="5" t="s">
        <v>37</v>
      </c>
      <c r="Q70" s="5" t="s">
        <v>216</v>
      </c>
      <c r="R70" s="5" t="s">
        <v>216</v>
      </c>
    </row>
    <row r="71" spans="1:18">
      <c r="A71" s="5" t="s">
        <v>74</v>
      </c>
      <c r="B71" s="5" t="s">
        <v>217</v>
      </c>
      <c r="C71" s="5" t="s">
        <v>218</v>
      </c>
      <c r="D71" s="5" t="s">
        <v>76</v>
      </c>
      <c r="E71" s="6" t="str">
        <f t="shared" si="4"/>
        <v>WC.TS.TSPARMCD.TINDTP</v>
      </c>
      <c r="G71" s="5" t="s">
        <v>77</v>
      </c>
      <c r="H71" s="5" t="s">
        <v>82</v>
      </c>
      <c r="J71" s="5" t="s">
        <v>79</v>
      </c>
      <c r="L71" s="5" t="s">
        <v>37</v>
      </c>
      <c r="N71" s="5" t="s">
        <v>219</v>
      </c>
      <c r="Q71" s="5" t="s">
        <v>220</v>
      </c>
      <c r="R71" s="5" t="s">
        <v>220</v>
      </c>
    </row>
    <row r="72" spans="1:18">
      <c r="A72" s="5" t="s">
        <v>74</v>
      </c>
      <c r="B72" s="5" t="s">
        <v>221</v>
      </c>
      <c r="C72" s="5" t="s">
        <v>222</v>
      </c>
      <c r="D72" s="5" t="s">
        <v>76</v>
      </c>
      <c r="E72" s="6" t="str">
        <f t="shared" si="4"/>
        <v>WC.TS.TSPARMCD.TITLE</v>
      </c>
      <c r="G72" s="5" t="s">
        <v>77</v>
      </c>
      <c r="H72" s="5" t="s">
        <v>82</v>
      </c>
      <c r="J72" s="5" t="s">
        <v>79</v>
      </c>
      <c r="L72" s="5" t="s">
        <v>37</v>
      </c>
      <c r="Q72" s="5" t="s">
        <v>223</v>
      </c>
      <c r="R72" s="5" t="s">
        <v>223</v>
      </c>
    </row>
    <row r="73" spans="1:18">
      <c r="A73" s="5" t="s">
        <v>74</v>
      </c>
      <c r="B73" s="5" t="s">
        <v>224</v>
      </c>
      <c r="C73" s="5" t="s">
        <v>225</v>
      </c>
      <c r="D73" s="5" t="s">
        <v>76</v>
      </c>
      <c r="E73" s="6" t="str">
        <f t="shared" si="4"/>
        <v>WC.TS.TSPARMCD.TPHASE</v>
      </c>
      <c r="G73" s="5" t="s">
        <v>77</v>
      </c>
      <c r="H73" s="5" t="s">
        <v>82</v>
      </c>
      <c r="J73" s="5" t="s">
        <v>79</v>
      </c>
      <c r="L73" s="5" t="s">
        <v>37</v>
      </c>
      <c r="N73" s="5" t="s">
        <v>226</v>
      </c>
      <c r="Q73" s="5" t="s">
        <v>227</v>
      </c>
      <c r="R73" s="5" t="s">
        <v>227</v>
      </c>
    </row>
    <row r="74" spans="1:18">
      <c r="A74" s="5" t="s">
        <v>74</v>
      </c>
      <c r="B74" s="5" t="s">
        <v>228</v>
      </c>
      <c r="C74" s="5" t="s">
        <v>229</v>
      </c>
      <c r="D74" s="5" t="s">
        <v>76</v>
      </c>
      <c r="E74" s="6" t="str">
        <f t="shared" si="4"/>
        <v>WC.TS.TSPARMCD.TRT</v>
      </c>
      <c r="G74" s="5" t="s">
        <v>77</v>
      </c>
      <c r="H74" s="5" t="s">
        <v>82</v>
      </c>
      <c r="J74" s="5" t="s">
        <v>79</v>
      </c>
      <c r="L74" s="5" t="s">
        <v>37</v>
      </c>
      <c r="Q74" s="5" t="s">
        <v>230</v>
      </c>
      <c r="R74" s="5" t="s">
        <v>230</v>
      </c>
    </row>
    <row r="75" spans="1:18">
      <c r="A75" s="5" t="s">
        <v>74</v>
      </c>
      <c r="B75" s="5" t="s">
        <v>231</v>
      </c>
      <c r="C75" s="5" t="s">
        <v>232</v>
      </c>
      <c r="D75" s="5" t="s">
        <v>76</v>
      </c>
      <c r="E75" s="6" t="str">
        <f t="shared" si="4"/>
        <v>WC.TS.TSPARMCD.TTYPE</v>
      </c>
      <c r="G75" s="5" t="s">
        <v>77</v>
      </c>
      <c r="H75" s="5" t="s">
        <v>82</v>
      </c>
      <c r="J75" s="5" t="s">
        <v>79</v>
      </c>
      <c r="L75" s="5" t="s">
        <v>37</v>
      </c>
      <c r="N75" s="5" t="s">
        <v>233</v>
      </c>
      <c r="Q75" s="5" t="s">
        <v>234</v>
      </c>
      <c r="R75" s="5" t="s">
        <v>234</v>
      </c>
    </row>
    <row r="76" spans="1:18">
      <c r="A76" s="5" t="s">
        <v>235</v>
      </c>
      <c r="B76" s="5" t="s">
        <v>236</v>
      </c>
      <c r="C76" s="5" t="s">
        <v>21</v>
      </c>
      <c r="D76" s="5" t="s">
        <v>22</v>
      </c>
      <c r="E76" s="6" t="s">
        <v>237</v>
      </c>
      <c r="G76" s="5" t="s">
        <v>238</v>
      </c>
      <c r="H76" s="5" t="s">
        <v>24</v>
      </c>
      <c r="J76" s="5" t="s">
        <v>36</v>
      </c>
      <c r="L76" s="5" t="s">
        <v>37</v>
      </c>
      <c r="N76" s="5" t="s">
        <v>239</v>
      </c>
      <c r="Q76" s="5" t="s">
        <v>240</v>
      </c>
      <c r="R76" s="5" t="s">
        <v>241</v>
      </c>
    </row>
    <row r="77" spans="1:18">
      <c r="A77" s="5" t="s">
        <v>235</v>
      </c>
      <c r="B77" s="5" t="s">
        <v>242</v>
      </c>
      <c r="C77" s="5" t="s">
        <v>243</v>
      </c>
      <c r="D77" s="5" t="s">
        <v>22</v>
      </c>
      <c r="E77" s="6" t="s">
        <v>244</v>
      </c>
      <c r="G77" s="5" t="s">
        <v>238</v>
      </c>
      <c r="H77" s="5" t="s">
        <v>24</v>
      </c>
      <c r="J77" s="5" t="s">
        <v>36</v>
      </c>
      <c r="L77" s="5" t="s">
        <v>37</v>
      </c>
      <c r="N77" s="5" t="s">
        <v>245</v>
      </c>
      <c r="Q77" s="5" t="s">
        <v>246</v>
      </c>
      <c r="R77" s="5" t="s">
        <v>247</v>
      </c>
    </row>
    <row r="78" spans="1:18">
      <c r="A78" s="5" t="s">
        <v>248</v>
      </c>
      <c r="B78" s="5" t="s">
        <v>249</v>
      </c>
      <c r="C78" s="5" t="s">
        <v>21</v>
      </c>
      <c r="D78" s="5" t="s">
        <v>76</v>
      </c>
      <c r="E78" s="5" t="s">
        <v>250</v>
      </c>
      <c r="G78" s="5" t="s">
        <v>251</v>
      </c>
      <c r="H78" s="5" t="s">
        <v>24</v>
      </c>
      <c r="J78" s="5" t="s">
        <v>36</v>
      </c>
      <c r="L78" s="5" t="s">
        <v>37</v>
      </c>
      <c r="N78" s="5" t="s">
        <v>252</v>
      </c>
      <c r="Q78" s="5" t="s">
        <v>253</v>
      </c>
      <c r="R78" s="5" t="s">
        <v>254</v>
      </c>
    </row>
    <row r="79" spans="1:18">
      <c r="A79" s="5" t="s">
        <v>248</v>
      </c>
      <c r="B79" s="5" t="s">
        <v>255</v>
      </c>
      <c r="C79" s="5" t="s">
        <v>243</v>
      </c>
      <c r="D79" s="5" t="s">
        <v>76</v>
      </c>
      <c r="E79" s="5" t="s">
        <v>256</v>
      </c>
      <c r="G79" s="5" t="s">
        <v>257</v>
      </c>
      <c r="H79" s="5" t="s">
        <v>24</v>
      </c>
      <c r="J79" s="5" t="s">
        <v>36</v>
      </c>
      <c r="L79" s="5" t="s">
        <v>37</v>
      </c>
      <c r="N79" s="5" t="s">
        <v>258</v>
      </c>
      <c r="Q79" s="5" t="s">
        <v>259</v>
      </c>
      <c r="R79" s="5" t="s">
        <v>260</v>
      </c>
    </row>
    <row r="80" spans="1:18">
      <c r="A80" s="5" t="s">
        <v>261</v>
      </c>
      <c r="B80" s="5" t="s">
        <v>262</v>
      </c>
      <c r="C80" s="5" t="s">
        <v>21</v>
      </c>
      <c r="D80" s="5" t="s">
        <v>76</v>
      </c>
      <c r="E80" s="5" t="s">
        <v>263</v>
      </c>
      <c r="G80" s="5" t="s">
        <v>264</v>
      </c>
      <c r="H80" s="5" t="s">
        <v>24</v>
      </c>
      <c r="J80" s="5" t="s">
        <v>36</v>
      </c>
      <c r="L80" s="5" t="s">
        <v>37</v>
      </c>
      <c r="N80" s="5" t="s">
        <v>265</v>
      </c>
      <c r="Q80" s="5" t="s">
        <v>266</v>
      </c>
      <c r="R80" s="5" t="s">
        <v>267</v>
      </c>
    </row>
    <row r="81" spans="1:18">
      <c r="A81" s="5" t="s">
        <v>261</v>
      </c>
      <c r="B81" s="5" t="s">
        <v>268</v>
      </c>
      <c r="C81" s="5" t="s">
        <v>243</v>
      </c>
      <c r="D81" s="5" t="s">
        <v>76</v>
      </c>
      <c r="E81" s="5" t="s">
        <v>269</v>
      </c>
      <c r="G81" s="5" t="s">
        <v>270</v>
      </c>
      <c r="H81" s="5" t="s">
        <v>24</v>
      </c>
      <c r="J81" s="5" t="s">
        <v>36</v>
      </c>
      <c r="L81" s="5" t="s">
        <v>37</v>
      </c>
      <c r="N81" s="5" t="s">
        <v>271</v>
      </c>
      <c r="Q81" s="5" t="s">
        <v>272</v>
      </c>
      <c r="R81" s="5" t="s">
        <v>273</v>
      </c>
    </row>
    <row r="82" spans="1:18">
      <c r="A82" s="5" t="s">
        <v>274</v>
      </c>
      <c r="B82" s="5" t="s">
        <v>275</v>
      </c>
      <c r="C82" s="5" t="s">
        <v>21</v>
      </c>
      <c r="D82" s="5" t="s">
        <v>76</v>
      </c>
      <c r="E82" s="5" t="s">
        <v>276</v>
      </c>
      <c r="G82" s="5" t="s">
        <v>277</v>
      </c>
      <c r="H82" s="5" t="s">
        <v>24</v>
      </c>
      <c r="J82" s="5" t="s">
        <v>25</v>
      </c>
      <c r="L82" s="5" t="s">
        <v>26</v>
      </c>
      <c r="N82" s="5" t="s">
        <v>278</v>
      </c>
      <c r="Q82" s="5" t="s">
        <v>279</v>
      </c>
      <c r="R82" s="5" t="s">
        <v>280</v>
      </c>
    </row>
    <row r="83" spans="1:18">
      <c r="A83" s="5" t="s">
        <v>274</v>
      </c>
      <c r="B83" s="5" t="s">
        <v>281</v>
      </c>
      <c r="C83" s="5" t="s">
        <v>243</v>
      </c>
      <c r="D83" s="5" t="s">
        <v>76</v>
      </c>
      <c r="E83" s="5" t="s">
        <v>282</v>
      </c>
      <c r="G83" s="5" t="s">
        <v>283</v>
      </c>
      <c r="H83" s="5" t="s">
        <v>24</v>
      </c>
      <c r="J83" s="5" t="s">
        <v>25</v>
      </c>
      <c r="L83" s="5" t="s">
        <v>26</v>
      </c>
      <c r="N83" s="5" t="s">
        <v>284</v>
      </c>
      <c r="Q83" s="5" t="s">
        <v>285</v>
      </c>
      <c r="R83" s="5" t="s">
        <v>286</v>
      </c>
    </row>
    <row r="84" spans="1:18">
      <c r="A84" s="5" t="s">
        <v>287</v>
      </c>
      <c r="B84" s="5" t="s">
        <v>288</v>
      </c>
      <c r="C84" s="5" t="s">
        <v>21</v>
      </c>
      <c r="D84" s="5" t="s">
        <v>76</v>
      </c>
      <c r="E84" s="5" t="s">
        <v>289</v>
      </c>
      <c r="G84" s="5" t="s">
        <v>290</v>
      </c>
      <c r="H84" s="5" t="s">
        <v>24</v>
      </c>
      <c r="J84" s="5" t="s">
        <v>25</v>
      </c>
      <c r="L84" s="5" t="s">
        <v>26</v>
      </c>
      <c r="Q84" s="5" t="s">
        <v>291</v>
      </c>
      <c r="R84" s="5" t="s">
        <v>292</v>
      </c>
    </row>
    <row r="85" spans="1:18">
      <c r="A85" s="5" t="s">
        <v>287</v>
      </c>
      <c r="B85" s="5" t="s">
        <v>293</v>
      </c>
      <c r="C85" s="5" t="s">
        <v>40</v>
      </c>
      <c r="D85" s="5" t="s">
        <v>76</v>
      </c>
      <c r="E85" s="5" t="s">
        <v>294</v>
      </c>
      <c r="G85" s="5" t="s">
        <v>295</v>
      </c>
      <c r="H85" s="5" t="s">
        <v>24</v>
      </c>
      <c r="J85" s="5" t="s">
        <v>25</v>
      </c>
      <c r="L85" s="5" t="s">
        <v>26</v>
      </c>
      <c r="Q85" s="5" t="s">
        <v>296</v>
      </c>
      <c r="R85" s="5" t="s">
        <v>297</v>
      </c>
    </row>
    <row r="86" spans="1:18">
      <c r="A86" s="5" t="s">
        <v>287</v>
      </c>
      <c r="B86" s="5" t="s">
        <v>298</v>
      </c>
      <c r="C86" s="5" t="s">
        <v>42</v>
      </c>
      <c r="D86" s="5" t="s">
        <v>76</v>
      </c>
      <c r="E86" s="5" t="s">
        <v>299</v>
      </c>
      <c r="G86" s="5" t="s">
        <v>295</v>
      </c>
      <c r="H86" s="5" t="s">
        <v>24</v>
      </c>
      <c r="J86" s="5" t="s">
        <v>25</v>
      </c>
      <c r="L86" s="5" t="s">
        <v>26</v>
      </c>
      <c r="N86" s="5" t="s">
        <v>300</v>
      </c>
      <c r="Q86" s="5" t="s">
        <v>301</v>
      </c>
      <c r="R86" s="5" t="s">
        <v>302</v>
      </c>
    </row>
    <row r="87" spans="1:18">
      <c r="A87" s="5" t="s">
        <v>303</v>
      </c>
      <c r="B87" s="5" t="s">
        <v>304</v>
      </c>
      <c r="C87" s="5" t="s">
        <v>21</v>
      </c>
      <c r="D87" s="5" t="s">
        <v>76</v>
      </c>
      <c r="E87" s="5" t="s">
        <v>305</v>
      </c>
      <c r="F87" s="5" t="s">
        <v>306</v>
      </c>
      <c r="G87" s="5" t="s">
        <v>307</v>
      </c>
      <c r="H87" s="5" t="s">
        <v>24</v>
      </c>
      <c r="J87" s="5" t="s">
        <v>68</v>
      </c>
      <c r="L87" s="5" t="s">
        <v>37</v>
      </c>
      <c r="N87" s="5" t="s">
        <v>308</v>
      </c>
      <c r="Q87" s="5" t="s">
        <v>309</v>
      </c>
      <c r="R87" s="5" t="s">
        <v>310</v>
      </c>
    </row>
    <row r="88" spans="1:18">
      <c r="A88" s="5" t="s">
        <v>303</v>
      </c>
      <c r="B88" s="5" t="s">
        <v>311</v>
      </c>
      <c r="C88" s="5" t="s">
        <v>40</v>
      </c>
      <c r="D88" s="5" t="s">
        <v>76</v>
      </c>
      <c r="E88" s="5" t="s">
        <v>312</v>
      </c>
      <c r="F88" s="5" t="s">
        <v>306</v>
      </c>
      <c r="G88" s="5" t="s">
        <v>313</v>
      </c>
      <c r="H88" s="5" t="s">
        <v>24</v>
      </c>
      <c r="J88" s="5" t="s">
        <v>68</v>
      </c>
      <c r="L88" s="5" t="s">
        <v>37</v>
      </c>
      <c r="N88" s="5" t="s">
        <v>69</v>
      </c>
      <c r="Q88" s="5" t="s">
        <v>314</v>
      </c>
      <c r="R88" s="5" t="s">
        <v>315</v>
      </c>
    </row>
    <row r="89" spans="1:18">
      <c r="A89" s="5" t="s">
        <v>303</v>
      </c>
      <c r="B89" s="5" t="s">
        <v>316</v>
      </c>
      <c r="C89" s="5" t="s">
        <v>42</v>
      </c>
      <c r="D89" s="5" t="s">
        <v>76</v>
      </c>
      <c r="E89" s="5" t="s">
        <v>317</v>
      </c>
      <c r="F89" s="5" t="s">
        <v>306</v>
      </c>
      <c r="G89" s="5" t="s">
        <v>313</v>
      </c>
      <c r="H89" s="5" t="s">
        <v>24</v>
      </c>
      <c r="J89" s="5" t="s">
        <v>68</v>
      </c>
      <c r="L89" s="5" t="s">
        <v>37</v>
      </c>
      <c r="N89" s="5" t="s">
        <v>318</v>
      </c>
      <c r="Q89" s="5" t="s">
        <v>319</v>
      </c>
      <c r="R89" s="5" t="s">
        <v>320</v>
      </c>
    </row>
    <row r="90" spans="1:18">
      <c r="A90" s="5" t="s">
        <v>321</v>
      </c>
      <c r="B90" s="5" t="s">
        <v>322</v>
      </c>
      <c r="C90" s="5" t="s">
        <v>34</v>
      </c>
      <c r="D90" s="5" t="s">
        <v>76</v>
      </c>
      <c r="E90" s="5" t="s">
        <v>323</v>
      </c>
      <c r="F90" s="5" t="s">
        <v>324</v>
      </c>
      <c r="G90" s="5" t="s">
        <v>325</v>
      </c>
      <c r="H90" s="5" t="s">
        <v>326</v>
      </c>
      <c r="J90" s="5" t="s">
        <v>68</v>
      </c>
      <c r="L90" s="5" t="s">
        <v>37</v>
      </c>
      <c r="P90" s="5" t="s">
        <v>99</v>
      </c>
      <c r="Q90" s="5" t="s">
        <v>327</v>
      </c>
      <c r="R90" s="5" t="s">
        <v>328</v>
      </c>
    </row>
    <row r="91" spans="1:18">
      <c r="A91" s="5" t="s">
        <v>321</v>
      </c>
      <c r="B91" s="5" t="s">
        <v>329</v>
      </c>
      <c r="C91" s="5" t="s">
        <v>40</v>
      </c>
      <c r="D91" s="5" t="s">
        <v>76</v>
      </c>
      <c r="E91" s="5" t="s">
        <v>330</v>
      </c>
      <c r="G91" s="5" t="s">
        <v>325</v>
      </c>
      <c r="H91" s="5" t="s">
        <v>326</v>
      </c>
      <c r="J91" s="5" t="s">
        <v>25</v>
      </c>
      <c r="L91" s="5" t="s">
        <v>26</v>
      </c>
      <c r="P91" s="5" t="s">
        <v>99</v>
      </c>
      <c r="Q91" s="5" t="s">
        <v>331</v>
      </c>
      <c r="R91" s="5" t="s">
        <v>332</v>
      </c>
    </row>
    <row r="92" spans="1:18">
      <c r="A92" s="5" t="s">
        <v>333</v>
      </c>
      <c r="B92" s="5" t="s">
        <v>334</v>
      </c>
      <c r="C92" s="5" t="s">
        <v>34</v>
      </c>
      <c r="D92" s="5" t="s">
        <v>76</v>
      </c>
      <c r="E92" s="6" t="s">
        <v>335</v>
      </c>
      <c r="G92" s="5" t="s">
        <v>336</v>
      </c>
      <c r="H92" s="5" t="s">
        <v>82</v>
      </c>
      <c r="J92" s="5" t="s">
        <v>25</v>
      </c>
      <c r="L92" s="5" t="s">
        <v>26</v>
      </c>
    </row>
    <row r="93" spans="1:18">
      <c r="A93" s="5" t="s">
        <v>333</v>
      </c>
      <c r="B93" s="5" t="s">
        <v>337</v>
      </c>
      <c r="C93" s="5" t="s">
        <v>40</v>
      </c>
      <c r="D93" s="5" t="s">
        <v>76</v>
      </c>
      <c r="E93" s="6" t="s">
        <v>338</v>
      </c>
      <c r="G93" s="5" t="s">
        <v>336</v>
      </c>
      <c r="H93" s="5" t="s">
        <v>98</v>
      </c>
      <c r="J93" s="5" t="s">
        <v>25</v>
      </c>
      <c r="L93" s="5" t="s">
        <v>26</v>
      </c>
      <c r="P93" s="5" t="s">
        <v>99</v>
      </c>
    </row>
    <row r="94" spans="1:18">
      <c r="A94" s="5" t="s">
        <v>339</v>
      </c>
      <c r="B94" s="5" t="s">
        <v>340</v>
      </c>
      <c r="C94" s="5" t="s">
        <v>34</v>
      </c>
      <c r="D94" s="5" t="s">
        <v>76</v>
      </c>
      <c r="E94" s="6" t="s">
        <v>341</v>
      </c>
      <c r="F94" s="5" t="s">
        <v>342</v>
      </c>
      <c r="G94" s="5" t="s">
        <v>343</v>
      </c>
      <c r="H94" s="5" t="s">
        <v>82</v>
      </c>
      <c r="J94" s="5" t="s">
        <v>68</v>
      </c>
      <c r="L94" s="5" t="s">
        <v>37</v>
      </c>
    </row>
    <row r="95" spans="1:18">
      <c r="A95" s="5" t="s">
        <v>339</v>
      </c>
      <c r="B95" s="5" t="s">
        <v>344</v>
      </c>
      <c r="C95" s="5" t="s">
        <v>40</v>
      </c>
      <c r="D95" s="5" t="s">
        <v>76</v>
      </c>
      <c r="E95" s="6" t="s">
        <v>345</v>
      </c>
      <c r="F95" s="5" t="s">
        <v>342</v>
      </c>
      <c r="G95" s="5" t="s">
        <v>343</v>
      </c>
      <c r="H95" s="5" t="s">
        <v>98</v>
      </c>
      <c r="J95" s="5" t="s">
        <v>68</v>
      </c>
      <c r="L95" s="5" t="s">
        <v>37</v>
      </c>
      <c r="P95" s="5" t="s">
        <v>99</v>
      </c>
    </row>
    <row r="96" spans="1:18">
      <c r="A96" s="5" t="s">
        <v>346</v>
      </c>
      <c r="B96" s="5" t="s">
        <v>347</v>
      </c>
      <c r="C96" s="5" t="s">
        <v>34</v>
      </c>
      <c r="D96" s="5" t="s">
        <v>76</v>
      </c>
      <c r="E96" s="6" t="s">
        <v>348</v>
      </c>
      <c r="G96" s="5" t="s">
        <v>336</v>
      </c>
      <c r="H96" s="5" t="s">
        <v>82</v>
      </c>
      <c r="J96" s="5" t="s">
        <v>25</v>
      </c>
      <c r="L96" s="5" t="s">
        <v>26</v>
      </c>
    </row>
    <row r="97" spans="1:16">
      <c r="A97" s="5" t="s">
        <v>346</v>
      </c>
      <c r="B97" s="5" t="s">
        <v>349</v>
      </c>
      <c r="C97" s="5" t="s">
        <v>40</v>
      </c>
      <c r="D97" s="5" t="s">
        <v>76</v>
      </c>
      <c r="E97" s="6" t="s">
        <v>350</v>
      </c>
      <c r="G97" s="5" t="s">
        <v>336</v>
      </c>
      <c r="H97" s="5" t="s">
        <v>98</v>
      </c>
      <c r="J97" s="5" t="s">
        <v>25</v>
      </c>
      <c r="L97" s="5" t="s">
        <v>26</v>
      </c>
      <c r="P97" s="5" t="s">
        <v>99</v>
      </c>
    </row>
    <row r="98" spans="1:16">
      <c r="A98" s="5" t="s">
        <v>351</v>
      </c>
      <c r="B98" s="5" t="s">
        <v>352</v>
      </c>
      <c r="C98" s="5" t="s">
        <v>34</v>
      </c>
      <c r="D98" s="5" t="s">
        <v>76</v>
      </c>
      <c r="E98" s="6" t="s">
        <v>353</v>
      </c>
      <c r="F98" s="5" t="s">
        <v>342</v>
      </c>
      <c r="G98" s="5" t="s">
        <v>343</v>
      </c>
      <c r="H98" s="5" t="s">
        <v>82</v>
      </c>
      <c r="J98" s="5" t="s">
        <v>68</v>
      </c>
      <c r="L98" s="5" t="s">
        <v>37</v>
      </c>
    </row>
    <row r="99" spans="1:16">
      <c r="A99" s="5" t="s">
        <v>351</v>
      </c>
      <c r="B99" s="5" t="s">
        <v>354</v>
      </c>
      <c r="C99" s="5" t="s">
        <v>40</v>
      </c>
      <c r="D99" s="5" t="s">
        <v>76</v>
      </c>
      <c r="E99" s="6" t="s">
        <v>355</v>
      </c>
      <c r="F99" s="5" t="s">
        <v>342</v>
      </c>
      <c r="G99" s="5" t="s">
        <v>343</v>
      </c>
      <c r="H99" s="5" t="s">
        <v>98</v>
      </c>
      <c r="J99" s="5" t="s">
        <v>68</v>
      </c>
      <c r="L99" s="5" t="s">
        <v>37</v>
      </c>
      <c r="P99" s="5" t="s">
        <v>99</v>
      </c>
    </row>
    <row r="100" spans="1:16">
      <c r="A100" s="5" t="s">
        <v>356</v>
      </c>
      <c r="B100" s="5" t="s">
        <v>357</v>
      </c>
      <c r="C100" s="5" t="s">
        <v>34</v>
      </c>
      <c r="D100" s="5" t="s">
        <v>76</v>
      </c>
      <c r="E100" s="6" t="s">
        <v>358</v>
      </c>
      <c r="F100" s="5" t="s">
        <v>359</v>
      </c>
      <c r="G100" s="5" t="s">
        <v>360</v>
      </c>
      <c r="H100" s="5" t="s">
        <v>98</v>
      </c>
      <c r="J100" s="5" t="s">
        <v>68</v>
      </c>
      <c r="L100" s="5" t="s">
        <v>37</v>
      </c>
    </row>
    <row r="101" spans="1:16">
      <c r="A101" s="5" t="s">
        <v>356</v>
      </c>
      <c r="B101" s="5" t="s">
        <v>361</v>
      </c>
      <c r="C101" s="5" t="s">
        <v>40</v>
      </c>
      <c r="D101" s="5" t="s">
        <v>76</v>
      </c>
      <c r="E101" s="6" t="s">
        <v>362</v>
      </c>
      <c r="F101" s="5" t="s">
        <v>363</v>
      </c>
      <c r="G101" s="5" t="s">
        <v>360</v>
      </c>
      <c r="H101" s="5" t="s">
        <v>98</v>
      </c>
      <c r="J101" s="5" t="s">
        <v>68</v>
      </c>
      <c r="L101" s="5" t="s">
        <v>37</v>
      </c>
    </row>
    <row r="102" spans="1:16">
      <c r="A102" s="5" t="s">
        <v>356</v>
      </c>
      <c r="B102" s="5" t="s">
        <v>364</v>
      </c>
      <c r="C102" s="5" t="s">
        <v>42</v>
      </c>
      <c r="D102" s="5" t="s">
        <v>76</v>
      </c>
      <c r="E102" s="6" t="s">
        <v>365</v>
      </c>
      <c r="F102" s="5" t="s">
        <v>366</v>
      </c>
      <c r="G102" s="5" t="s">
        <v>360</v>
      </c>
      <c r="H102" s="5" t="s">
        <v>98</v>
      </c>
      <c r="J102" s="5" t="s">
        <v>68</v>
      </c>
      <c r="L102" s="5" t="s">
        <v>37</v>
      </c>
    </row>
    <row r="103" spans="1:16">
      <c r="A103" s="5" t="s">
        <v>367</v>
      </c>
      <c r="B103" s="5" t="s">
        <v>368</v>
      </c>
      <c r="C103" s="5" t="s">
        <v>34</v>
      </c>
      <c r="D103" s="5" t="s">
        <v>76</v>
      </c>
      <c r="E103" s="6" t="s">
        <v>358</v>
      </c>
      <c r="F103" s="5" t="s">
        <v>369</v>
      </c>
      <c r="G103" s="5" t="s">
        <v>370</v>
      </c>
      <c r="H103" s="5" t="s">
        <v>98</v>
      </c>
      <c r="J103" s="5" t="s">
        <v>68</v>
      </c>
      <c r="L103" s="5" t="s">
        <v>37</v>
      </c>
    </row>
    <row r="104" spans="1:16">
      <c r="A104" s="5" t="s">
        <v>367</v>
      </c>
      <c r="B104" s="5" t="s">
        <v>371</v>
      </c>
      <c r="C104" s="5" t="s">
        <v>40</v>
      </c>
      <c r="D104" s="5" t="s">
        <v>76</v>
      </c>
      <c r="E104" s="6" t="s">
        <v>362</v>
      </c>
      <c r="F104" s="5" t="s">
        <v>372</v>
      </c>
      <c r="G104" s="5" t="s">
        <v>370</v>
      </c>
      <c r="H104" s="5" t="s">
        <v>98</v>
      </c>
      <c r="J104" s="5" t="s">
        <v>68</v>
      </c>
      <c r="L104" s="5" t="s">
        <v>37</v>
      </c>
    </row>
    <row r="105" spans="1:16">
      <c r="A105" s="5" t="s">
        <v>367</v>
      </c>
      <c r="B105" s="5" t="s">
        <v>373</v>
      </c>
      <c r="C105" s="5" t="s">
        <v>42</v>
      </c>
      <c r="D105" s="5" t="s">
        <v>76</v>
      </c>
      <c r="E105" s="6" t="s">
        <v>365</v>
      </c>
      <c r="F105" s="5" t="s">
        <v>374</v>
      </c>
      <c r="G105" s="5" t="s">
        <v>370</v>
      </c>
      <c r="H105" s="5" t="s">
        <v>98</v>
      </c>
      <c r="J105" s="5" t="s">
        <v>68</v>
      </c>
      <c r="L105" s="5" t="s">
        <v>37</v>
      </c>
    </row>
    <row r="106" spans="1:16">
      <c r="A106" s="5" t="s">
        <v>375</v>
      </c>
      <c r="B106" s="5" t="s">
        <v>376</v>
      </c>
      <c r="C106" s="5" t="s">
        <v>34</v>
      </c>
      <c r="D106" s="5" t="s">
        <v>76</v>
      </c>
      <c r="E106" s="6" t="s">
        <v>377</v>
      </c>
      <c r="G106" s="5" t="s">
        <v>378</v>
      </c>
      <c r="H106" s="5" t="s">
        <v>82</v>
      </c>
      <c r="I106" s="5" t="s">
        <v>379</v>
      </c>
      <c r="J106" s="5" t="s">
        <v>25</v>
      </c>
      <c r="L106" s="5" t="s">
        <v>26</v>
      </c>
      <c r="O106" s="5" t="s">
        <v>379</v>
      </c>
    </row>
    <row r="107" spans="1:16">
      <c r="A107" s="5" t="s">
        <v>375</v>
      </c>
      <c r="B107" s="5" t="s">
        <v>380</v>
      </c>
      <c r="C107" s="5" t="s">
        <v>40</v>
      </c>
      <c r="D107" s="5" t="s">
        <v>76</v>
      </c>
      <c r="E107" s="6" t="s">
        <v>381</v>
      </c>
      <c r="G107" s="5" t="s">
        <v>378</v>
      </c>
      <c r="H107" s="5" t="s">
        <v>78</v>
      </c>
      <c r="I107" s="5" t="s">
        <v>379</v>
      </c>
      <c r="J107" s="5" t="s">
        <v>25</v>
      </c>
      <c r="L107" s="5" t="s">
        <v>26</v>
      </c>
      <c r="O107" s="5" t="s">
        <v>379</v>
      </c>
    </row>
    <row r="108" spans="1:16">
      <c r="A108" s="5" t="s">
        <v>382</v>
      </c>
      <c r="B108" s="5" t="s">
        <v>383</v>
      </c>
      <c r="C108" s="5" t="s">
        <v>34</v>
      </c>
      <c r="D108" s="5" t="s">
        <v>76</v>
      </c>
      <c r="E108" s="6" t="s">
        <v>384</v>
      </c>
      <c r="F108" s="5" t="s">
        <v>342</v>
      </c>
      <c r="G108" s="5" t="s">
        <v>385</v>
      </c>
      <c r="H108" s="5" t="s">
        <v>82</v>
      </c>
      <c r="I108" s="5" t="s">
        <v>379</v>
      </c>
      <c r="J108" s="5" t="s">
        <v>68</v>
      </c>
      <c r="L108" s="5" t="s">
        <v>37</v>
      </c>
      <c r="O108" s="5" t="s">
        <v>379</v>
      </c>
    </row>
    <row r="109" spans="1:16">
      <c r="A109" s="5" t="s">
        <v>382</v>
      </c>
      <c r="B109" s="5" t="s">
        <v>386</v>
      </c>
      <c r="C109" s="5" t="s">
        <v>40</v>
      </c>
      <c r="D109" s="5" t="s">
        <v>76</v>
      </c>
      <c r="E109" s="6" t="s">
        <v>387</v>
      </c>
      <c r="F109" s="5" t="s">
        <v>388</v>
      </c>
      <c r="G109" s="5" t="s">
        <v>385</v>
      </c>
      <c r="H109" s="5" t="s">
        <v>175</v>
      </c>
      <c r="I109" s="5" t="s">
        <v>379</v>
      </c>
      <c r="J109" s="5" t="s">
        <v>68</v>
      </c>
      <c r="L109" s="5" t="s">
        <v>37</v>
      </c>
      <c r="O109" s="5" t="s">
        <v>52</v>
      </c>
    </row>
    <row r="110" spans="1:16">
      <c r="A110" s="5" t="s">
        <v>382</v>
      </c>
      <c r="B110" s="5" t="s">
        <v>389</v>
      </c>
      <c r="C110" s="5" t="s">
        <v>42</v>
      </c>
      <c r="D110" s="5" t="s">
        <v>76</v>
      </c>
      <c r="E110" s="6" t="s">
        <v>390</v>
      </c>
      <c r="F110" s="5" t="s">
        <v>342</v>
      </c>
      <c r="G110" s="5" t="s">
        <v>385</v>
      </c>
      <c r="H110" s="5" t="s">
        <v>78</v>
      </c>
      <c r="I110" s="5" t="s">
        <v>379</v>
      </c>
      <c r="J110" s="5" t="s">
        <v>68</v>
      </c>
      <c r="L110" s="5" t="s">
        <v>37</v>
      </c>
      <c r="O110" s="5" t="s">
        <v>379</v>
      </c>
    </row>
  </sheetData>
  <autoFilter ref="A1" xr:uid="{00000000-0009-0000-0000-000000000000}"/>
  <phoneticPr fontId="6" type="noConversion"/>
  <dataValidations count="3">
    <dataValidation allowBlank="1" showErrorMessage="1" promptTitle="Notes: " prompt="List of variable names that define the subsets of the data for VLM._x000a_Comma delimited if more than one variable is used. _x000a_eg: PARAMCD  _x000a_or  PARCAT1, PARCAT2" sqref="B92:B1048576 B1:B77" xr:uid="{00000000-0002-0000-0000-000000000000}"/>
    <dataValidation allowBlank="1" showErrorMessage="1" promptTitle="Same order as WhereVarList    " prompt="Double colons (::) delimited if more than one variable value is listed._x000a_Allowable values of comparison operator: LT, LE, GT, GE, EQ, NE, IN, NOTIN._x000a_&quot;EQ&quot; can be omitted here._x000a_eg: ALT _x000a_or  EQ &quot;CHEMISTRY&quot; :: NOTIN (&quot;HORMONE&quot; &quot;LIVER FUNCTION&quot;)" sqref="C1:C1048576" xr:uid="{00000000-0002-0000-0000-000001000000}"/>
    <dataValidation type="list" allowBlank="1" showInputMessage="1" showErrorMessage="1" sqref="D2:D1048576" xr:uid="{00000000-0002-0000-0000-000002000000}">
      <formula1>"Yes,No"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"/>
  <sheetViews>
    <sheetView zoomScale="85" zoomScaleNormal="85" workbookViewId="0" xr3:uid="{958C4451-9541-5A59-BF78-D2F731DF1C81}">
      <pane ySplit="1" topLeftCell="A2" activePane="bottomLeft" state="frozen"/>
      <selection pane="bottomLeft" activeCell="A2" sqref="A2"/>
    </sheetView>
  </sheetViews>
  <sheetFormatPr defaultColWidth="8.625" defaultRowHeight="12.75"/>
  <cols>
    <col min="1" max="1" width="30.625" style="6" customWidth="1"/>
    <col min="2" max="2" width="8.5" style="6" bestFit="1" customWidth="1"/>
    <col min="3" max="3" width="14.125" style="6" customWidth="1"/>
    <col min="4" max="4" width="13.5" style="6" customWidth="1"/>
    <col min="5" max="5" width="38.875" style="6" customWidth="1"/>
    <col min="6" max="6" width="28.125" style="6" customWidth="1"/>
    <col min="7" max="7" width="14.25" style="6" customWidth="1"/>
    <col min="8" max="8" width="15.25" style="6" customWidth="1"/>
    <col min="9" max="16384" width="8.625" style="6"/>
  </cols>
  <sheetData>
    <row r="1" spans="1:8">
      <c r="A1" s="7" t="s">
        <v>4</v>
      </c>
      <c r="B1" s="7" t="s">
        <v>391</v>
      </c>
      <c r="C1" s="1" t="s">
        <v>392</v>
      </c>
      <c r="D1" s="7" t="s">
        <v>393</v>
      </c>
      <c r="E1" s="7" t="s">
        <v>394</v>
      </c>
      <c r="F1" s="7" t="s">
        <v>395</v>
      </c>
      <c r="G1" s="7" t="s">
        <v>396</v>
      </c>
      <c r="H1" s="4" t="s">
        <v>397</v>
      </c>
    </row>
    <row r="2" spans="1:8">
      <c r="A2" s="6" t="s">
        <v>398</v>
      </c>
      <c r="B2" s="6" t="str">
        <f>MID(A2,4,6)</f>
        <v>SUPPDC</v>
      </c>
      <c r="C2" s="6" t="s">
        <v>399</v>
      </c>
      <c r="D2" s="6" t="s">
        <v>400</v>
      </c>
      <c r="E2" s="6" t="str">
        <f>RIGHT(A2,LEN(A2)-15)</f>
        <v>CETHNIC</v>
      </c>
      <c r="F2" s="6" t="str">
        <f>RIGHT(A2,LEN(A2)-15)</f>
        <v>CETHNIC</v>
      </c>
    </row>
    <row r="3" spans="1:8">
      <c r="A3" s="6" t="s">
        <v>401</v>
      </c>
      <c r="B3" s="6" t="str">
        <f>MID(A3,4,6)</f>
        <v>SUPPDM</v>
      </c>
      <c r="C3" s="6" t="s">
        <v>399</v>
      </c>
      <c r="D3" s="6" t="s">
        <v>400</v>
      </c>
      <c r="E3" s="6" t="str">
        <f>RIGHT(A3,LEN(A3)-15)</f>
        <v>CETHNIC</v>
      </c>
      <c r="F3" s="6" t="str">
        <f>RIGHT(A3,LEN(A3)-15)</f>
        <v>CETHNIC</v>
      </c>
    </row>
    <row r="4" spans="1:8">
      <c r="A4" s="6" t="s">
        <v>402</v>
      </c>
      <c r="B4" s="6" t="str">
        <f t="shared" ref="B4" si="0">MID(A4,4,6)</f>
        <v>SUPPCM</v>
      </c>
      <c r="C4" s="6" t="s">
        <v>399</v>
      </c>
      <c r="D4" s="6" t="s">
        <v>400</v>
      </c>
      <c r="E4" s="6" t="str">
        <f t="shared" ref="E4" si="1">RIGHT(A4,LEN(A4)-15)</f>
        <v>CMRGMTR</v>
      </c>
      <c r="F4" s="6" t="str">
        <f t="shared" ref="F4" si="2">RIGHT(A4,LEN(A4)-15)</f>
        <v>CMRGMTR</v>
      </c>
    </row>
    <row r="5" spans="1:8">
      <c r="A5" s="6" t="s">
        <v>403</v>
      </c>
      <c r="B5" s="6" t="str">
        <f t="shared" ref="B5" si="3">MID(A5,4,6)</f>
        <v>SUPPCM</v>
      </c>
      <c r="C5" s="6" t="s">
        <v>399</v>
      </c>
      <c r="D5" s="6" t="s">
        <v>400</v>
      </c>
      <c r="E5" s="6" t="str">
        <f t="shared" ref="E5" si="4">RIGHT(A5,LEN(A5)-15)</f>
        <v>CMPTCD</v>
      </c>
      <c r="F5" s="6" t="str">
        <f t="shared" ref="F5" si="5">RIGHT(A5,LEN(A5)-15)</f>
        <v>CMPTCD</v>
      </c>
      <c r="G5" s="6" t="s">
        <v>404</v>
      </c>
    </row>
    <row r="6" spans="1:8">
      <c r="A6" s="6" t="s">
        <v>405</v>
      </c>
      <c r="B6" s="6" t="str">
        <f t="shared" ref="B6:B17" si="6">MID(A6,4,6)</f>
        <v>SUPPCM</v>
      </c>
      <c r="C6" s="6" t="s">
        <v>399</v>
      </c>
      <c r="D6" s="6" t="s">
        <v>400</v>
      </c>
      <c r="E6" s="6" t="str">
        <f t="shared" ref="E6:E17" si="7">RIGHT(A6,LEN(A6)-15)</f>
        <v>ATCCD</v>
      </c>
      <c r="F6" s="6" t="str">
        <f t="shared" ref="F6:F17" si="8">RIGHT(A6,LEN(A6)-15)</f>
        <v>ATCCD</v>
      </c>
      <c r="G6" s="6" t="s">
        <v>404</v>
      </c>
    </row>
    <row r="7" spans="1:8">
      <c r="A7" s="6" t="s">
        <v>406</v>
      </c>
      <c r="B7" s="6" t="str">
        <f t="shared" si="6"/>
        <v>SUPPCM</v>
      </c>
      <c r="C7" s="6" t="s">
        <v>399</v>
      </c>
      <c r="D7" s="6" t="s">
        <v>400</v>
      </c>
      <c r="E7" s="6" t="str">
        <f t="shared" si="7"/>
        <v>ATC</v>
      </c>
      <c r="F7" s="6" t="str">
        <f t="shared" si="8"/>
        <v>ATC</v>
      </c>
      <c r="G7" s="6" t="s">
        <v>404</v>
      </c>
    </row>
    <row r="8" spans="1:8">
      <c r="A8" s="6" t="s">
        <v>407</v>
      </c>
      <c r="B8" s="6" t="str">
        <f t="shared" si="6"/>
        <v>SUPPCM</v>
      </c>
      <c r="C8" s="6" t="s">
        <v>399</v>
      </c>
      <c r="D8" s="6" t="s">
        <v>400</v>
      </c>
      <c r="E8" s="6" t="str">
        <f t="shared" si="7"/>
        <v>ATC1CD</v>
      </c>
      <c r="F8" s="6" t="str">
        <f t="shared" si="8"/>
        <v>ATC1CD</v>
      </c>
      <c r="G8" s="6" t="s">
        <v>404</v>
      </c>
    </row>
    <row r="9" spans="1:8">
      <c r="A9" s="6" t="s">
        <v>408</v>
      </c>
      <c r="B9" s="6" t="str">
        <f t="shared" si="6"/>
        <v>SUPPCM</v>
      </c>
      <c r="C9" s="6" t="s">
        <v>399</v>
      </c>
      <c r="D9" s="6" t="s">
        <v>400</v>
      </c>
      <c r="E9" s="6" t="str">
        <f t="shared" si="7"/>
        <v>ATC1</v>
      </c>
      <c r="F9" s="6" t="str">
        <f t="shared" si="8"/>
        <v>ATC1</v>
      </c>
      <c r="G9" s="6" t="s">
        <v>404</v>
      </c>
    </row>
    <row r="10" spans="1:8">
      <c r="A10" s="6" t="s">
        <v>409</v>
      </c>
      <c r="B10" s="6" t="str">
        <f t="shared" si="6"/>
        <v>SUPPCM</v>
      </c>
      <c r="C10" s="6" t="s">
        <v>399</v>
      </c>
      <c r="D10" s="6" t="s">
        <v>400</v>
      </c>
      <c r="E10" s="6" t="str">
        <f t="shared" si="7"/>
        <v>ATC2CD</v>
      </c>
      <c r="F10" s="6" t="str">
        <f t="shared" si="8"/>
        <v>ATC2CD</v>
      </c>
      <c r="G10" s="6" t="s">
        <v>404</v>
      </c>
    </row>
    <row r="11" spans="1:8">
      <c r="A11" s="6" t="s">
        <v>410</v>
      </c>
      <c r="B11" s="6" t="str">
        <f t="shared" si="6"/>
        <v>SUPPCM</v>
      </c>
      <c r="C11" s="6" t="s">
        <v>399</v>
      </c>
      <c r="D11" s="6" t="s">
        <v>400</v>
      </c>
      <c r="E11" s="6" t="str">
        <f t="shared" si="7"/>
        <v>ATC2</v>
      </c>
      <c r="F11" s="6" t="str">
        <f t="shared" si="8"/>
        <v>ATC2</v>
      </c>
      <c r="G11" s="6" t="s">
        <v>404</v>
      </c>
    </row>
    <row r="12" spans="1:8">
      <c r="A12" s="6" t="s">
        <v>411</v>
      </c>
      <c r="B12" s="6" t="str">
        <f t="shared" si="6"/>
        <v>SUPPCM</v>
      </c>
      <c r="C12" s="6" t="s">
        <v>399</v>
      </c>
      <c r="D12" s="6" t="s">
        <v>400</v>
      </c>
      <c r="E12" s="6" t="str">
        <f t="shared" si="7"/>
        <v>ATC3CD</v>
      </c>
      <c r="F12" s="6" t="str">
        <f t="shared" si="8"/>
        <v>ATC3CD</v>
      </c>
      <c r="G12" s="6" t="s">
        <v>404</v>
      </c>
    </row>
    <row r="13" spans="1:8">
      <c r="A13" s="6" t="s">
        <v>412</v>
      </c>
      <c r="B13" s="6" t="str">
        <f t="shared" si="6"/>
        <v>SUPPCM</v>
      </c>
      <c r="C13" s="6" t="s">
        <v>399</v>
      </c>
      <c r="D13" s="6" t="s">
        <v>400</v>
      </c>
      <c r="E13" s="6" t="str">
        <f t="shared" si="7"/>
        <v>ATC3</v>
      </c>
      <c r="F13" s="6" t="str">
        <f t="shared" si="8"/>
        <v>ATC3</v>
      </c>
      <c r="G13" s="6" t="s">
        <v>404</v>
      </c>
    </row>
    <row r="14" spans="1:8">
      <c r="A14" s="6" t="s">
        <v>413</v>
      </c>
      <c r="B14" s="6" t="str">
        <f t="shared" si="6"/>
        <v>SUPPCM</v>
      </c>
      <c r="C14" s="6" t="s">
        <v>399</v>
      </c>
      <c r="D14" s="6" t="s">
        <v>400</v>
      </c>
      <c r="E14" s="6" t="str">
        <f t="shared" si="7"/>
        <v>ATC4CD</v>
      </c>
      <c r="F14" s="6" t="str">
        <f t="shared" si="8"/>
        <v>ATC4CD</v>
      </c>
      <c r="G14" s="6" t="s">
        <v>404</v>
      </c>
    </row>
    <row r="15" spans="1:8">
      <c r="A15" s="6" t="s">
        <v>414</v>
      </c>
      <c r="B15" s="6" t="str">
        <f t="shared" si="6"/>
        <v>SUPPCM</v>
      </c>
      <c r="C15" s="6" t="s">
        <v>399</v>
      </c>
      <c r="D15" s="6" t="s">
        <v>400</v>
      </c>
      <c r="E15" s="6" t="str">
        <f t="shared" si="7"/>
        <v>ATC4</v>
      </c>
      <c r="F15" s="6" t="str">
        <f t="shared" si="8"/>
        <v>ATC4</v>
      </c>
      <c r="G15" s="6" t="s">
        <v>404</v>
      </c>
    </row>
    <row r="16" spans="1:8">
      <c r="A16" s="6" t="s">
        <v>415</v>
      </c>
      <c r="B16" s="6" t="str">
        <f t="shared" ref="B16" si="9">MID(A16,4,6)</f>
        <v>SUPPCM</v>
      </c>
      <c r="C16" s="6" t="s">
        <v>399</v>
      </c>
      <c r="D16" s="6" t="s">
        <v>400</v>
      </c>
      <c r="E16" s="6" t="str">
        <f t="shared" ref="E16" si="10">RIGHT(A16,LEN(A16)-15)</f>
        <v>DICTNAME</v>
      </c>
      <c r="F16" s="6" t="str">
        <f t="shared" ref="F16" si="11">RIGHT(A16,LEN(A16)-15)</f>
        <v>DICTNAME</v>
      </c>
    </row>
    <row r="17" spans="1:6">
      <c r="A17" s="6" t="s">
        <v>416</v>
      </c>
      <c r="B17" s="6" t="str">
        <f t="shared" si="6"/>
        <v>SUPPCM</v>
      </c>
      <c r="C17" s="6" t="s">
        <v>399</v>
      </c>
      <c r="D17" s="6" t="s">
        <v>400</v>
      </c>
      <c r="E17" s="6" t="str">
        <f t="shared" si="7"/>
        <v>DICTVER</v>
      </c>
      <c r="F17" s="6" t="str">
        <f t="shared" si="8"/>
        <v>DICTVER</v>
      </c>
    </row>
    <row r="18" spans="1:6">
      <c r="A18" s="6" t="s">
        <v>417</v>
      </c>
      <c r="B18" s="6" t="str">
        <f t="shared" ref="B18:B21" si="12">MID(A18,4,6)</f>
        <v>SUPPAE</v>
      </c>
      <c r="C18" s="6" t="s">
        <v>399</v>
      </c>
      <c r="D18" s="6" t="s">
        <v>400</v>
      </c>
      <c r="E18" s="6" t="str">
        <f t="shared" ref="E18:E21" si="13">RIGHT(A18,LEN(A18)-15)</f>
        <v>DICTNAME</v>
      </c>
      <c r="F18" s="6" t="str">
        <f t="shared" ref="F18:F21" si="14">RIGHT(A18,LEN(A18)-15)</f>
        <v>DICTNAME</v>
      </c>
    </row>
    <row r="19" spans="1:6">
      <c r="A19" s="6" t="s">
        <v>418</v>
      </c>
      <c r="B19" s="6" t="str">
        <f t="shared" si="12"/>
        <v>SUPPAE</v>
      </c>
      <c r="C19" s="6" t="s">
        <v>399</v>
      </c>
      <c r="D19" s="6" t="s">
        <v>400</v>
      </c>
      <c r="E19" s="6" t="str">
        <f t="shared" si="13"/>
        <v>DICTVER</v>
      </c>
      <c r="F19" s="6" t="str">
        <f t="shared" si="14"/>
        <v>DICTVER</v>
      </c>
    </row>
    <row r="20" spans="1:6">
      <c r="A20" s="6" t="s">
        <v>419</v>
      </c>
      <c r="B20" s="6" t="str">
        <f t="shared" si="12"/>
        <v>SUPPAE</v>
      </c>
      <c r="C20" s="6" t="s">
        <v>399</v>
      </c>
      <c r="D20" s="6" t="s">
        <v>400</v>
      </c>
      <c r="E20" s="6" t="str">
        <f t="shared" si="13"/>
        <v>AETRTEM</v>
      </c>
      <c r="F20" s="6" t="str">
        <f t="shared" si="14"/>
        <v>AETRTEM</v>
      </c>
    </row>
    <row r="21" spans="1:6">
      <c r="A21" s="6" t="s">
        <v>420</v>
      </c>
      <c r="B21" s="6" t="str">
        <f t="shared" si="12"/>
        <v>SUPPAE</v>
      </c>
      <c r="C21" s="6" t="s">
        <v>399</v>
      </c>
      <c r="D21" s="6" t="s">
        <v>400</v>
      </c>
      <c r="E21" s="6" t="str">
        <f t="shared" si="13"/>
        <v>AESOSP</v>
      </c>
      <c r="F21" s="6" t="str">
        <f t="shared" si="14"/>
        <v>AESOSP</v>
      </c>
    </row>
    <row r="22" spans="1:6">
      <c r="A22" s="6" t="s">
        <v>421</v>
      </c>
      <c r="B22" s="6" t="str">
        <f t="shared" ref="B22:B23" si="15">MID(A22,4,6)</f>
        <v>SUPPMH</v>
      </c>
      <c r="C22" s="6" t="s">
        <v>399</v>
      </c>
      <c r="D22" s="6" t="s">
        <v>400</v>
      </c>
      <c r="E22" s="6" t="str">
        <f t="shared" ref="E22:E23" si="16">RIGHT(A22,LEN(A22)-15)</f>
        <v>DICTNAME</v>
      </c>
      <c r="F22" s="6" t="str">
        <f t="shared" ref="F22:F23" si="17">RIGHT(A22,LEN(A22)-15)</f>
        <v>DICTNAME</v>
      </c>
    </row>
    <row r="23" spans="1:6">
      <c r="A23" s="6" t="s">
        <v>422</v>
      </c>
      <c r="B23" s="6" t="str">
        <f t="shared" si="15"/>
        <v>SUPPMH</v>
      </c>
      <c r="C23" s="6" t="s">
        <v>399</v>
      </c>
      <c r="D23" s="6" t="s">
        <v>400</v>
      </c>
      <c r="E23" s="6" t="str">
        <f t="shared" si="16"/>
        <v>DICTVER</v>
      </c>
      <c r="F23" s="6" t="str">
        <f t="shared" si="17"/>
        <v>DICTVER</v>
      </c>
    </row>
    <row r="24" spans="1:6">
      <c r="A24" s="6" t="s">
        <v>423</v>
      </c>
      <c r="B24" s="6" t="s">
        <v>424</v>
      </c>
      <c r="C24" s="6" t="s">
        <v>425</v>
      </c>
      <c r="D24" s="6" t="s">
        <v>400</v>
      </c>
      <c r="E24" s="6" t="s">
        <v>426</v>
      </c>
      <c r="F24" s="6" t="s">
        <v>426</v>
      </c>
    </row>
    <row r="25" spans="1:6">
      <c r="A25" s="6" t="s">
        <v>427</v>
      </c>
      <c r="B25" s="6" t="str">
        <f>MID(A25,4,2)</f>
        <v>TS</v>
      </c>
      <c r="C25" s="6" t="s">
        <v>428</v>
      </c>
      <c r="D25" s="6" t="s">
        <v>400</v>
      </c>
      <c r="E25" s="6" t="str">
        <f>RIGHT(A25,LEN(A25)-15)</f>
        <v>ACTSUB</v>
      </c>
      <c r="F25" s="6" t="str">
        <f>RIGHT(A25,LEN(A25)-15)</f>
        <v>ACTSUB</v>
      </c>
    </row>
    <row r="26" spans="1:6">
      <c r="A26" s="6" t="s">
        <v>429</v>
      </c>
      <c r="B26" s="6" t="str">
        <f t="shared" ref="B26:B75" si="18">MID(A26,4,2)</f>
        <v>TS</v>
      </c>
      <c r="C26" s="6" t="s">
        <v>428</v>
      </c>
      <c r="D26" s="6" t="s">
        <v>400</v>
      </c>
      <c r="E26" s="6" t="str">
        <f t="shared" ref="E26:E75" si="19">RIGHT(A26,LEN(A26)-15)</f>
        <v>ADAPT</v>
      </c>
      <c r="F26" s="6" t="str">
        <f t="shared" ref="F26:F75" si="20">RIGHT(A26,LEN(A26)-15)</f>
        <v>ADAPT</v>
      </c>
    </row>
    <row r="27" spans="1:6">
      <c r="A27" s="6" t="s">
        <v>430</v>
      </c>
      <c r="B27" s="6" t="str">
        <f t="shared" si="18"/>
        <v>TS</v>
      </c>
      <c r="C27" s="6" t="s">
        <v>428</v>
      </c>
      <c r="D27" s="6" t="s">
        <v>400</v>
      </c>
      <c r="E27" s="6" t="str">
        <f t="shared" si="19"/>
        <v>ADDON</v>
      </c>
      <c r="F27" s="6" t="str">
        <f t="shared" si="20"/>
        <v>ADDON</v>
      </c>
    </row>
    <row r="28" spans="1:6">
      <c r="A28" s="6" t="s">
        <v>431</v>
      </c>
      <c r="B28" s="6" t="str">
        <f t="shared" ref="B28:B30" si="21">MID(A28,4,2)</f>
        <v>TS</v>
      </c>
      <c r="C28" s="6" t="s">
        <v>428</v>
      </c>
      <c r="D28" s="6" t="s">
        <v>400</v>
      </c>
      <c r="E28" s="6" t="str">
        <f t="shared" ref="E28:E30" si="22">RIGHT(A28,LEN(A28)-15)</f>
        <v>AGEMAX</v>
      </c>
      <c r="F28" s="6" t="str">
        <f t="shared" ref="F28:F30" si="23">RIGHT(A28,LEN(A28)-15)</f>
        <v>AGEMAX</v>
      </c>
    </row>
    <row r="29" spans="1:6">
      <c r="A29" s="6" t="s">
        <v>432</v>
      </c>
      <c r="B29" s="6" t="str">
        <f t="shared" si="21"/>
        <v>TS</v>
      </c>
      <c r="C29" s="6" t="s">
        <v>428</v>
      </c>
      <c r="D29" s="6" t="s">
        <v>400</v>
      </c>
      <c r="E29" s="6" t="str">
        <f t="shared" si="22"/>
        <v>AGEMIN</v>
      </c>
      <c r="F29" s="6" t="str">
        <f t="shared" si="23"/>
        <v>AGEMIN</v>
      </c>
    </row>
    <row r="30" spans="1:6">
      <c r="A30" s="6" t="s">
        <v>433</v>
      </c>
      <c r="B30" s="6" t="str">
        <f t="shared" si="21"/>
        <v>TS</v>
      </c>
      <c r="C30" s="6" t="s">
        <v>428</v>
      </c>
      <c r="D30" s="6" t="s">
        <v>400</v>
      </c>
      <c r="E30" s="6" t="str">
        <f t="shared" si="22"/>
        <v>COMPTRT</v>
      </c>
      <c r="F30" s="6" t="str">
        <f t="shared" si="23"/>
        <v>COMPTRT</v>
      </c>
    </row>
    <row r="31" spans="1:6">
      <c r="A31" s="6" t="s">
        <v>434</v>
      </c>
      <c r="B31" s="6" t="str">
        <f t="shared" si="18"/>
        <v>TS</v>
      </c>
      <c r="C31" s="6" t="s">
        <v>428</v>
      </c>
      <c r="D31" s="6" t="s">
        <v>400</v>
      </c>
      <c r="E31" s="6" t="str">
        <f t="shared" si="19"/>
        <v>CURTRT</v>
      </c>
      <c r="F31" s="6" t="str">
        <f t="shared" si="20"/>
        <v>CURTRT</v>
      </c>
    </row>
    <row r="32" spans="1:6">
      <c r="A32" s="6" t="s">
        <v>435</v>
      </c>
      <c r="B32" s="6" t="str">
        <f t="shared" si="18"/>
        <v>TS</v>
      </c>
      <c r="C32" s="6" t="s">
        <v>428</v>
      </c>
      <c r="D32" s="6" t="s">
        <v>400</v>
      </c>
      <c r="E32" s="6" t="str">
        <f t="shared" si="19"/>
        <v>DCUTDESC</v>
      </c>
      <c r="F32" s="6" t="str">
        <f t="shared" si="20"/>
        <v>DCUTDESC</v>
      </c>
    </row>
    <row r="33" spans="1:6">
      <c r="A33" s="6" t="s">
        <v>436</v>
      </c>
      <c r="B33" s="6" t="str">
        <f t="shared" si="18"/>
        <v>TS</v>
      </c>
      <c r="C33" s="6" t="s">
        <v>428</v>
      </c>
      <c r="D33" s="6" t="s">
        <v>400</v>
      </c>
      <c r="E33" s="6" t="str">
        <f t="shared" si="19"/>
        <v>DCUTDTC</v>
      </c>
      <c r="F33" s="6" t="str">
        <f t="shared" si="20"/>
        <v>DCUTDTC</v>
      </c>
    </row>
    <row r="34" spans="1:6">
      <c r="A34" s="6" t="s">
        <v>437</v>
      </c>
      <c r="B34" s="6" t="str">
        <f t="shared" si="18"/>
        <v>TS</v>
      </c>
      <c r="C34" s="6" t="s">
        <v>428</v>
      </c>
      <c r="D34" s="6" t="s">
        <v>400</v>
      </c>
      <c r="E34" s="6" t="str">
        <f t="shared" si="19"/>
        <v>EXTTIND</v>
      </c>
      <c r="F34" s="6" t="str">
        <f t="shared" si="20"/>
        <v>EXTTIND</v>
      </c>
    </row>
    <row r="35" spans="1:6">
      <c r="A35" s="6" t="s">
        <v>438</v>
      </c>
      <c r="B35" s="6" t="str">
        <f t="shared" si="18"/>
        <v>TS</v>
      </c>
      <c r="C35" s="6" t="s">
        <v>428</v>
      </c>
      <c r="D35" s="6" t="s">
        <v>400</v>
      </c>
      <c r="E35" s="6" t="str">
        <f t="shared" si="19"/>
        <v>FCNTRY</v>
      </c>
      <c r="F35" s="6" t="str">
        <f t="shared" si="20"/>
        <v>FCNTRY</v>
      </c>
    </row>
    <row r="36" spans="1:6">
      <c r="A36" s="6" t="s">
        <v>439</v>
      </c>
      <c r="B36" s="6" t="str">
        <f t="shared" si="18"/>
        <v>TS</v>
      </c>
      <c r="C36" s="6" t="s">
        <v>428</v>
      </c>
      <c r="D36" s="6" t="s">
        <v>400</v>
      </c>
      <c r="E36" s="6" t="str">
        <f t="shared" si="19"/>
        <v>HLTSUBJI</v>
      </c>
      <c r="F36" s="6" t="str">
        <f t="shared" si="20"/>
        <v>HLTSUBJI</v>
      </c>
    </row>
    <row r="37" spans="1:6">
      <c r="A37" s="6" t="s">
        <v>440</v>
      </c>
      <c r="B37" s="6" t="str">
        <f t="shared" si="18"/>
        <v>TS</v>
      </c>
      <c r="C37" s="6" t="s">
        <v>428</v>
      </c>
      <c r="D37" s="6" t="s">
        <v>400</v>
      </c>
      <c r="E37" s="6" t="str">
        <f t="shared" si="19"/>
        <v>INDIC</v>
      </c>
      <c r="F37" s="6" t="str">
        <f t="shared" si="20"/>
        <v>INDIC</v>
      </c>
    </row>
    <row r="38" spans="1:6">
      <c r="A38" s="6" t="s">
        <v>441</v>
      </c>
      <c r="B38" s="6" t="str">
        <f t="shared" si="18"/>
        <v>TS</v>
      </c>
      <c r="C38" s="6" t="s">
        <v>428</v>
      </c>
      <c r="D38" s="6" t="s">
        <v>400</v>
      </c>
      <c r="E38" s="6" t="str">
        <f t="shared" si="19"/>
        <v>INTMODEL</v>
      </c>
      <c r="F38" s="6" t="str">
        <f t="shared" si="20"/>
        <v>INTMODEL</v>
      </c>
    </row>
    <row r="39" spans="1:6">
      <c r="A39" s="6" t="s">
        <v>442</v>
      </c>
      <c r="B39" s="6" t="str">
        <f t="shared" si="18"/>
        <v>TS</v>
      </c>
      <c r="C39" s="6" t="s">
        <v>428</v>
      </c>
      <c r="D39" s="6" t="s">
        <v>400</v>
      </c>
      <c r="E39" s="6" t="str">
        <f t="shared" si="19"/>
        <v>INTTYPE</v>
      </c>
      <c r="F39" s="6" t="str">
        <f t="shared" si="20"/>
        <v>INTTYPE</v>
      </c>
    </row>
    <row r="40" spans="1:6">
      <c r="A40" s="6" t="s">
        <v>443</v>
      </c>
      <c r="B40" s="6" t="str">
        <f t="shared" si="18"/>
        <v>TS</v>
      </c>
      <c r="C40" s="6" t="s">
        <v>428</v>
      </c>
      <c r="D40" s="6" t="s">
        <v>400</v>
      </c>
      <c r="E40" s="6" t="str">
        <f t="shared" si="19"/>
        <v>LENGTH</v>
      </c>
      <c r="F40" s="6" t="str">
        <f t="shared" si="20"/>
        <v>LENGTH</v>
      </c>
    </row>
    <row r="41" spans="1:6">
      <c r="A41" s="6" t="s">
        <v>444</v>
      </c>
      <c r="B41" s="6" t="str">
        <f t="shared" si="18"/>
        <v>TS</v>
      </c>
      <c r="C41" s="6" t="s">
        <v>428</v>
      </c>
      <c r="D41" s="6" t="s">
        <v>400</v>
      </c>
      <c r="E41" s="6" t="str">
        <f t="shared" si="19"/>
        <v>NARMS</v>
      </c>
      <c r="F41" s="6" t="str">
        <f t="shared" si="20"/>
        <v>NARMS</v>
      </c>
    </row>
    <row r="42" spans="1:6">
      <c r="A42" s="6" t="s">
        <v>445</v>
      </c>
      <c r="B42" s="6" t="str">
        <f t="shared" ref="B42" si="24">MID(A42,4,2)</f>
        <v>TS</v>
      </c>
      <c r="C42" s="6" t="s">
        <v>428</v>
      </c>
      <c r="D42" s="6" t="s">
        <v>400</v>
      </c>
      <c r="E42" s="6" t="str">
        <f t="shared" ref="E42" si="25">RIGHT(A42,LEN(A42)-15)</f>
        <v>NCOHORT</v>
      </c>
      <c r="F42" s="6" t="str">
        <f t="shared" ref="F42" si="26">RIGHT(A42,LEN(A42)-15)</f>
        <v>NCOHORT</v>
      </c>
    </row>
    <row r="43" spans="1:6">
      <c r="A43" s="6" t="s">
        <v>446</v>
      </c>
      <c r="B43" s="6" t="str">
        <f t="shared" si="18"/>
        <v>TS</v>
      </c>
      <c r="C43" s="6" t="s">
        <v>428</v>
      </c>
      <c r="D43" s="6" t="s">
        <v>400</v>
      </c>
      <c r="E43" s="6" t="str">
        <f t="shared" si="19"/>
        <v>OBJPRIM</v>
      </c>
      <c r="F43" s="6" t="str">
        <f t="shared" si="20"/>
        <v>OBJPRIM</v>
      </c>
    </row>
    <row r="44" spans="1:6">
      <c r="A44" s="6" t="s">
        <v>447</v>
      </c>
      <c r="B44" s="6" t="str">
        <f t="shared" si="18"/>
        <v>TS</v>
      </c>
      <c r="C44" s="6" t="s">
        <v>428</v>
      </c>
      <c r="D44" s="6" t="s">
        <v>400</v>
      </c>
      <c r="E44" s="6" t="str">
        <f t="shared" si="19"/>
        <v>OBJSEC</v>
      </c>
      <c r="F44" s="6" t="str">
        <f t="shared" si="20"/>
        <v>OBJSEC</v>
      </c>
    </row>
    <row r="45" spans="1:6">
      <c r="A45" s="6" t="s">
        <v>448</v>
      </c>
      <c r="B45" s="6" t="str">
        <f t="shared" ref="B45" si="27">MID(A45,4,2)</f>
        <v>TS</v>
      </c>
      <c r="C45" s="6" t="s">
        <v>428</v>
      </c>
      <c r="D45" s="6" t="s">
        <v>400</v>
      </c>
      <c r="E45" s="6" t="str">
        <f t="shared" ref="E45" si="28">RIGHT(A45,LEN(A45)-15)</f>
        <v>OBJEXP</v>
      </c>
      <c r="F45" s="6" t="str">
        <f t="shared" ref="F45" si="29">RIGHT(A45,LEN(A45)-15)</f>
        <v>OBJEXP</v>
      </c>
    </row>
    <row r="46" spans="1:6">
      <c r="A46" s="6" t="s">
        <v>449</v>
      </c>
      <c r="B46" s="6" t="str">
        <f t="shared" si="18"/>
        <v>TS</v>
      </c>
      <c r="C46" s="6" t="s">
        <v>428</v>
      </c>
      <c r="D46" s="6" t="s">
        <v>400</v>
      </c>
      <c r="E46" s="6" t="str">
        <f t="shared" si="19"/>
        <v>OUTMSPRI</v>
      </c>
      <c r="F46" s="6" t="str">
        <f t="shared" si="20"/>
        <v>OUTMSPRI</v>
      </c>
    </row>
    <row r="47" spans="1:6">
      <c r="A47" s="6" t="s">
        <v>450</v>
      </c>
      <c r="B47" s="6" t="str">
        <f t="shared" si="18"/>
        <v>TS</v>
      </c>
      <c r="C47" s="6" t="s">
        <v>428</v>
      </c>
      <c r="D47" s="6" t="s">
        <v>400</v>
      </c>
      <c r="E47" s="6" t="str">
        <f t="shared" si="19"/>
        <v>OUTMSSEC</v>
      </c>
      <c r="F47" s="6" t="str">
        <f t="shared" si="20"/>
        <v>OUTMSSEC</v>
      </c>
    </row>
    <row r="48" spans="1:6">
      <c r="A48" s="6" t="s">
        <v>451</v>
      </c>
      <c r="B48" s="6" t="str">
        <f t="shared" ref="B48" si="30">MID(A48,4,2)</f>
        <v>TS</v>
      </c>
      <c r="C48" s="6" t="s">
        <v>428</v>
      </c>
      <c r="D48" s="6" t="s">
        <v>400</v>
      </c>
      <c r="E48" s="6" t="str">
        <f t="shared" ref="E48" si="31">RIGHT(A48,LEN(A48)-15)</f>
        <v>OUTMSEXP</v>
      </c>
      <c r="F48" s="6" t="str">
        <f t="shared" ref="F48" si="32">RIGHT(A48,LEN(A48)-15)</f>
        <v>OUTMSEXP</v>
      </c>
    </row>
    <row r="49" spans="1:6">
      <c r="A49" s="6" t="s">
        <v>452</v>
      </c>
      <c r="B49" s="6" t="str">
        <f t="shared" si="18"/>
        <v>TS</v>
      </c>
      <c r="C49" s="6" t="s">
        <v>428</v>
      </c>
      <c r="D49" s="6" t="s">
        <v>400</v>
      </c>
      <c r="E49" s="6" t="str">
        <f t="shared" si="19"/>
        <v>PCLAS</v>
      </c>
      <c r="F49" s="6" t="str">
        <f t="shared" si="20"/>
        <v>PCLAS</v>
      </c>
    </row>
    <row r="50" spans="1:6">
      <c r="A50" s="6" t="s">
        <v>453</v>
      </c>
      <c r="B50" s="6" t="str">
        <f t="shared" si="18"/>
        <v>TS</v>
      </c>
      <c r="C50" s="6" t="s">
        <v>428</v>
      </c>
      <c r="D50" s="6" t="s">
        <v>400</v>
      </c>
      <c r="E50" s="6" t="str">
        <f t="shared" si="19"/>
        <v>PLANSUB</v>
      </c>
      <c r="F50" s="6" t="str">
        <f t="shared" si="20"/>
        <v>PLANSUB</v>
      </c>
    </row>
    <row r="51" spans="1:6">
      <c r="A51" s="6" t="s">
        <v>454</v>
      </c>
      <c r="B51" s="6" t="str">
        <f t="shared" si="18"/>
        <v>TS</v>
      </c>
      <c r="C51" s="6" t="s">
        <v>428</v>
      </c>
      <c r="D51" s="6" t="s">
        <v>400</v>
      </c>
      <c r="E51" s="6" t="str">
        <f t="shared" si="19"/>
        <v>PDPSTIND</v>
      </c>
      <c r="F51" s="6" t="str">
        <f t="shared" si="20"/>
        <v>PDPSTIND</v>
      </c>
    </row>
    <row r="52" spans="1:6">
      <c r="A52" s="6" t="s">
        <v>455</v>
      </c>
      <c r="B52" s="6" t="str">
        <f t="shared" si="18"/>
        <v>TS</v>
      </c>
      <c r="C52" s="6" t="s">
        <v>428</v>
      </c>
      <c r="D52" s="6" t="s">
        <v>400</v>
      </c>
      <c r="E52" s="6" t="str">
        <f t="shared" si="19"/>
        <v>PDSTIND</v>
      </c>
      <c r="F52" s="6" t="str">
        <f t="shared" si="20"/>
        <v>PDSTIND</v>
      </c>
    </row>
    <row r="53" spans="1:6">
      <c r="A53" s="6" t="s">
        <v>456</v>
      </c>
      <c r="B53" s="6" t="str">
        <f t="shared" si="18"/>
        <v>TS</v>
      </c>
      <c r="C53" s="6" t="s">
        <v>428</v>
      </c>
      <c r="D53" s="6" t="s">
        <v>400</v>
      </c>
      <c r="E53" s="6" t="str">
        <f t="shared" si="19"/>
        <v>PIPIND</v>
      </c>
      <c r="F53" s="6" t="str">
        <f t="shared" si="20"/>
        <v>PIPIND</v>
      </c>
    </row>
    <row r="54" spans="1:6">
      <c r="A54" s="6" t="s">
        <v>457</v>
      </c>
      <c r="B54" s="6" t="str">
        <f t="shared" si="18"/>
        <v>TS</v>
      </c>
      <c r="C54" s="6" t="s">
        <v>428</v>
      </c>
      <c r="D54" s="6" t="s">
        <v>400</v>
      </c>
      <c r="E54" s="6" t="str">
        <f t="shared" si="19"/>
        <v>RANDOM</v>
      </c>
      <c r="F54" s="6" t="str">
        <f t="shared" si="20"/>
        <v>RANDOM</v>
      </c>
    </row>
    <row r="55" spans="1:6">
      <c r="A55" s="6" t="s">
        <v>458</v>
      </c>
      <c r="B55" s="6" t="str">
        <f t="shared" ref="B55" si="33">MID(A55,4,2)</f>
        <v>TS</v>
      </c>
      <c r="C55" s="6" t="s">
        <v>428</v>
      </c>
      <c r="D55" s="6" t="s">
        <v>400</v>
      </c>
      <c r="E55" s="6" t="str">
        <f t="shared" ref="E55" si="34">RIGHT(A55,LEN(A55)-15)</f>
        <v>RANDQT</v>
      </c>
      <c r="F55" s="6" t="str">
        <f t="shared" ref="F55" si="35">RIGHT(A55,LEN(A55)-15)</f>
        <v>RANDQT</v>
      </c>
    </row>
    <row r="56" spans="1:6">
      <c r="A56" s="6" t="s">
        <v>459</v>
      </c>
      <c r="B56" s="6" t="str">
        <f>MID(A56,4,2)</f>
        <v>TS</v>
      </c>
      <c r="C56" s="6" t="s">
        <v>428</v>
      </c>
      <c r="D56" s="6" t="s">
        <v>400</v>
      </c>
      <c r="E56" s="6" t="str">
        <f>RIGHT(A56,LEN(A56)-15)</f>
        <v>RDIND</v>
      </c>
      <c r="F56" s="6" t="str">
        <f>RIGHT(A56,LEN(A56)-15)</f>
        <v>RDIND</v>
      </c>
    </row>
    <row r="57" spans="1:6">
      <c r="A57" s="6" t="s">
        <v>460</v>
      </c>
      <c r="B57" s="6" t="str">
        <f t="shared" si="18"/>
        <v>TS</v>
      </c>
      <c r="C57" s="6" t="s">
        <v>428</v>
      </c>
      <c r="D57" s="6" t="s">
        <v>400</v>
      </c>
      <c r="E57" s="6" t="str">
        <f t="shared" si="19"/>
        <v>REGID</v>
      </c>
      <c r="F57" s="6" t="str">
        <f t="shared" si="20"/>
        <v>REGID</v>
      </c>
    </row>
    <row r="58" spans="1:6">
      <c r="A58" s="6" t="s">
        <v>461</v>
      </c>
      <c r="B58" s="6" t="str">
        <f t="shared" si="18"/>
        <v>TS</v>
      </c>
      <c r="C58" s="6" t="s">
        <v>428</v>
      </c>
      <c r="D58" s="6" t="s">
        <v>400</v>
      </c>
      <c r="E58" s="6" t="str">
        <f t="shared" si="19"/>
        <v>SDTIGVER</v>
      </c>
      <c r="F58" s="6" t="str">
        <f t="shared" si="20"/>
        <v>SDTIGVER</v>
      </c>
    </row>
    <row r="59" spans="1:6">
      <c r="A59" s="6" t="s">
        <v>462</v>
      </c>
      <c r="B59" s="6" t="str">
        <f t="shared" si="18"/>
        <v>TS</v>
      </c>
      <c r="C59" s="6" t="s">
        <v>428</v>
      </c>
      <c r="D59" s="6" t="s">
        <v>400</v>
      </c>
      <c r="E59" s="6" t="str">
        <f t="shared" si="19"/>
        <v>SDTMVER</v>
      </c>
      <c r="F59" s="6" t="str">
        <f t="shared" si="20"/>
        <v>SDTMVER</v>
      </c>
    </row>
    <row r="60" spans="1:6">
      <c r="A60" s="6" t="s">
        <v>463</v>
      </c>
      <c r="B60" s="6" t="str">
        <f t="shared" si="18"/>
        <v>TS</v>
      </c>
      <c r="C60" s="6" t="s">
        <v>428</v>
      </c>
      <c r="D60" s="6" t="s">
        <v>400</v>
      </c>
      <c r="E60" s="6" t="str">
        <f t="shared" si="19"/>
        <v>SENDTC</v>
      </c>
      <c r="F60" s="6" t="str">
        <f t="shared" si="20"/>
        <v>SENDTC</v>
      </c>
    </row>
    <row r="61" spans="1:6">
      <c r="A61" s="6" t="s">
        <v>464</v>
      </c>
      <c r="B61" s="6" t="str">
        <f t="shared" si="18"/>
        <v>TS</v>
      </c>
      <c r="C61" s="6" t="s">
        <v>428</v>
      </c>
      <c r="D61" s="6" t="s">
        <v>400</v>
      </c>
      <c r="E61" s="6" t="str">
        <f t="shared" si="19"/>
        <v>SEXPOP</v>
      </c>
      <c r="F61" s="6" t="str">
        <f t="shared" si="20"/>
        <v>SEXPOP</v>
      </c>
    </row>
    <row r="62" spans="1:6">
      <c r="A62" s="6" t="s">
        <v>465</v>
      </c>
      <c r="B62" s="6" t="str">
        <f t="shared" ref="B62:B63" si="36">MID(A62,4,2)</f>
        <v>TS</v>
      </c>
      <c r="C62" s="6" t="s">
        <v>428</v>
      </c>
      <c r="D62" s="6" t="s">
        <v>400</v>
      </c>
      <c r="E62" s="6" t="str">
        <f t="shared" ref="E62:E63" si="37">RIGHT(A62,LEN(A62)-15)</f>
        <v>SPONSOR</v>
      </c>
      <c r="F62" s="6" t="str">
        <f t="shared" ref="F62:F63" si="38">RIGHT(A62,LEN(A62)-15)</f>
        <v>SPONSOR</v>
      </c>
    </row>
    <row r="63" spans="1:6">
      <c r="A63" s="6" t="s">
        <v>466</v>
      </c>
      <c r="B63" s="6" t="str">
        <f t="shared" si="36"/>
        <v>TS</v>
      </c>
      <c r="C63" s="6" t="s">
        <v>428</v>
      </c>
      <c r="D63" s="6" t="s">
        <v>400</v>
      </c>
      <c r="E63" s="6" t="str">
        <f t="shared" si="37"/>
        <v>SSTDTC</v>
      </c>
      <c r="F63" s="6" t="str">
        <f t="shared" si="38"/>
        <v>SSTDTC</v>
      </c>
    </row>
    <row r="64" spans="1:6">
      <c r="A64" s="6" t="s">
        <v>467</v>
      </c>
      <c r="B64" s="6" t="str">
        <f t="shared" si="18"/>
        <v>TS</v>
      </c>
      <c r="C64" s="6" t="s">
        <v>428</v>
      </c>
      <c r="D64" s="6" t="s">
        <v>400</v>
      </c>
      <c r="E64" s="6" t="str">
        <f t="shared" si="19"/>
        <v>STOPRULE</v>
      </c>
      <c r="F64" s="6" t="str">
        <f t="shared" si="20"/>
        <v>STOPRULE</v>
      </c>
    </row>
    <row r="65" spans="1:6">
      <c r="A65" s="6" t="s">
        <v>468</v>
      </c>
      <c r="B65" s="6" t="str">
        <f t="shared" si="18"/>
        <v>TS</v>
      </c>
      <c r="C65" s="6" t="s">
        <v>428</v>
      </c>
      <c r="D65" s="6" t="s">
        <v>400</v>
      </c>
      <c r="E65" s="6" t="str">
        <f t="shared" si="19"/>
        <v>STRATFCT</v>
      </c>
      <c r="F65" s="6" t="str">
        <f t="shared" si="20"/>
        <v>STRATFCT</v>
      </c>
    </row>
    <row r="66" spans="1:6">
      <c r="A66" s="6" t="s">
        <v>469</v>
      </c>
      <c r="B66" s="6" t="str">
        <f t="shared" si="18"/>
        <v>TS</v>
      </c>
      <c r="C66" s="6" t="s">
        <v>428</v>
      </c>
      <c r="D66" s="6" t="s">
        <v>400</v>
      </c>
      <c r="E66" s="6" t="str">
        <f t="shared" si="19"/>
        <v>STYPE</v>
      </c>
      <c r="F66" s="6" t="str">
        <f t="shared" si="20"/>
        <v>STYPE</v>
      </c>
    </row>
    <row r="67" spans="1:6">
      <c r="A67" s="6" t="s">
        <v>470</v>
      </c>
      <c r="B67" s="6" t="str">
        <f t="shared" si="18"/>
        <v>TS</v>
      </c>
      <c r="C67" s="6" t="s">
        <v>428</v>
      </c>
      <c r="D67" s="6" t="s">
        <v>400</v>
      </c>
      <c r="E67" s="6" t="str">
        <f t="shared" si="19"/>
        <v>TBLIND</v>
      </c>
      <c r="F67" s="6" t="str">
        <f t="shared" si="20"/>
        <v>TBLIND</v>
      </c>
    </row>
    <row r="68" spans="1:6">
      <c r="A68" s="6" t="s">
        <v>471</v>
      </c>
      <c r="B68" s="6" t="str">
        <f t="shared" ref="B68" si="39">MID(A68,4,2)</f>
        <v>TS</v>
      </c>
      <c r="C68" s="6" t="s">
        <v>428</v>
      </c>
      <c r="D68" s="6" t="s">
        <v>400</v>
      </c>
      <c r="E68" s="6" t="str">
        <f t="shared" ref="E68" si="40">RIGHT(A68,LEN(A68)-15)</f>
        <v>TCNTRL</v>
      </c>
      <c r="F68" s="6" t="str">
        <f t="shared" ref="F68" si="41">RIGHT(A68,LEN(A68)-15)</f>
        <v>TCNTRL</v>
      </c>
    </row>
    <row r="69" spans="1:6">
      <c r="A69" s="6" t="s">
        <v>472</v>
      </c>
      <c r="B69" s="6" t="str">
        <f t="shared" si="18"/>
        <v>TS</v>
      </c>
      <c r="C69" s="6" t="s">
        <v>428</v>
      </c>
      <c r="D69" s="6" t="s">
        <v>400</v>
      </c>
      <c r="E69" s="6" t="str">
        <f t="shared" si="19"/>
        <v>TDIGRP</v>
      </c>
      <c r="F69" s="6" t="str">
        <f t="shared" si="20"/>
        <v>TDIGRP</v>
      </c>
    </row>
    <row r="70" spans="1:6">
      <c r="A70" s="6" t="s">
        <v>473</v>
      </c>
      <c r="B70" s="6" t="str">
        <f t="shared" si="18"/>
        <v>TS</v>
      </c>
      <c r="C70" s="6" t="s">
        <v>428</v>
      </c>
      <c r="D70" s="6" t="s">
        <v>400</v>
      </c>
      <c r="E70" s="6" t="str">
        <f t="shared" si="19"/>
        <v>THERAREA</v>
      </c>
      <c r="F70" s="6" t="str">
        <f t="shared" si="20"/>
        <v>THERAREA</v>
      </c>
    </row>
    <row r="71" spans="1:6">
      <c r="A71" s="6" t="s">
        <v>474</v>
      </c>
      <c r="B71" s="6" t="str">
        <f t="shared" si="18"/>
        <v>TS</v>
      </c>
      <c r="C71" s="6" t="s">
        <v>428</v>
      </c>
      <c r="D71" s="6" t="s">
        <v>400</v>
      </c>
      <c r="E71" s="6" t="str">
        <f t="shared" si="19"/>
        <v>TINDTP</v>
      </c>
      <c r="F71" s="6" t="str">
        <f t="shared" si="20"/>
        <v>TINDTP</v>
      </c>
    </row>
    <row r="72" spans="1:6">
      <c r="A72" s="6" t="s">
        <v>475</v>
      </c>
      <c r="B72" s="6" t="str">
        <f t="shared" si="18"/>
        <v>TS</v>
      </c>
      <c r="C72" s="6" t="s">
        <v>428</v>
      </c>
      <c r="D72" s="6" t="s">
        <v>400</v>
      </c>
      <c r="E72" s="6" t="str">
        <f t="shared" si="19"/>
        <v>TITLE</v>
      </c>
      <c r="F72" s="6" t="str">
        <f t="shared" si="20"/>
        <v>TITLE</v>
      </c>
    </row>
    <row r="73" spans="1:6">
      <c r="A73" s="6" t="s">
        <v>476</v>
      </c>
      <c r="B73" s="6" t="str">
        <f t="shared" si="18"/>
        <v>TS</v>
      </c>
      <c r="C73" s="6" t="s">
        <v>428</v>
      </c>
      <c r="D73" s="6" t="s">
        <v>400</v>
      </c>
      <c r="E73" s="6" t="str">
        <f t="shared" si="19"/>
        <v>TPHASE</v>
      </c>
      <c r="F73" s="6" t="str">
        <f t="shared" si="20"/>
        <v>TPHASE</v>
      </c>
    </row>
    <row r="74" spans="1:6">
      <c r="A74" s="6" t="s">
        <v>477</v>
      </c>
      <c r="B74" s="6" t="str">
        <f t="shared" si="18"/>
        <v>TS</v>
      </c>
      <c r="C74" s="6" t="s">
        <v>428</v>
      </c>
      <c r="D74" s="6" t="s">
        <v>400</v>
      </c>
      <c r="E74" s="6" t="str">
        <f t="shared" si="19"/>
        <v>TRT</v>
      </c>
      <c r="F74" s="6" t="str">
        <f t="shared" si="20"/>
        <v>TRT</v>
      </c>
    </row>
    <row r="75" spans="1:6">
      <c r="A75" s="6" t="s">
        <v>478</v>
      </c>
      <c r="B75" s="6" t="str">
        <f t="shared" si="18"/>
        <v>TS</v>
      </c>
      <c r="C75" s="6" t="s">
        <v>428</v>
      </c>
      <c r="D75" s="6" t="s">
        <v>400</v>
      </c>
      <c r="E75" s="6" t="str">
        <f t="shared" si="19"/>
        <v>TTYPE</v>
      </c>
      <c r="F75" s="6" t="str">
        <f t="shared" si="20"/>
        <v>TTYPE</v>
      </c>
    </row>
    <row r="76" spans="1:6">
      <c r="A76" s="6" t="s">
        <v>479</v>
      </c>
      <c r="B76" s="6" t="s">
        <v>480</v>
      </c>
      <c r="C76" s="6" t="s">
        <v>481</v>
      </c>
      <c r="D76" s="6" t="s">
        <v>400</v>
      </c>
      <c r="E76" s="6" t="s">
        <v>482</v>
      </c>
      <c r="F76" s="6" t="s">
        <v>483</v>
      </c>
    </row>
    <row r="77" spans="1:6">
      <c r="A77" s="6" t="s">
        <v>484</v>
      </c>
      <c r="B77" s="6" t="s">
        <v>480</v>
      </c>
      <c r="C77" s="6" t="s">
        <v>481</v>
      </c>
      <c r="D77" s="6" t="s">
        <v>400</v>
      </c>
      <c r="E77" s="6" t="s">
        <v>485</v>
      </c>
      <c r="F77" s="6" t="s">
        <v>486</v>
      </c>
    </row>
    <row r="78" spans="1:6">
      <c r="A78" s="6" t="s">
        <v>250</v>
      </c>
      <c r="B78" s="6" t="s">
        <v>487</v>
      </c>
      <c r="C78" s="6" t="s">
        <v>257</v>
      </c>
      <c r="D78" s="6" t="s">
        <v>400</v>
      </c>
      <c r="E78" s="6" t="s">
        <v>488</v>
      </c>
      <c r="F78" s="6" t="s">
        <v>488</v>
      </c>
    </row>
    <row r="79" spans="1:6">
      <c r="A79" s="6" t="s">
        <v>256</v>
      </c>
      <c r="B79" s="6" t="s">
        <v>487</v>
      </c>
      <c r="C79" s="6" t="s">
        <v>257</v>
      </c>
      <c r="D79" s="6" t="s">
        <v>400</v>
      </c>
      <c r="E79" s="6" t="s">
        <v>489</v>
      </c>
      <c r="F79" s="6" t="s">
        <v>489</v>
      </c>
    </row>
    <row r="80" spans="1:6">
      <c r="A80" s="6" t="s">
        <v>263</v>
      </c>
      <c r="B80" s="6" t="s">
        <v>487</v>
      </c>
      <c r="C80" s="6" t="s">
        <v>257</v>
      </c>
      <c r="D80" s="6" t="s">
        <v>400</v>
      </c>
      <c r="E80" s="6" t="s">
        <v>488</v>
      </c>
      <c r="F80" s="6" t="s">
        <v>488</v>
      </c>
    </row>
    <row r="81" spans="1:6">
      <c r="A81" s="6" t="s">
        <v>269</v>
      </c>
      <c r="B81" s="6" t="s">
        <v>487</v>
      </c>
      <c r="C81" s="6" t="s">
        <v>257</v>
      </c>
      <c r="D81" s="6" t="s">
        <v>400</v>
      </c>
      <c r="E81" s="6" t="s">
        <v>489</v>
      </c>
      <c r="F81" s="6" t="s">
        <v>489</v>
      </c>
    </row>
    <row r="82" spans="1:6">
      <c r="A82" s="6" t="s">
        <v>276</v>
      </c>
      <c r="B82" s="6" t="s">
        <v>487</v>
      </c>
      <c r="C82" s="6" t="s">
        <v>257</v>
      </c>
      <c r="D82" s="6" t="s">
        <v>400</v>
      </c>
      <c r="E82" s="6" t="s">
        <v>488</v>
      </c>
      <c r="F82" s="6" t="s">
        <v>488</v>
      </c>
    </row>
    <row r="83" spans="1:6">
      <c r="A83" s="6" t="s">
        <v>282</v>
      </c>
      <c r="B83" s="6" t="s">
        <v>487</v>
      </c>
      <c r="C83" s="6" t="s">
        <v>257</v>
      </c>
      <c r="D83" s="6" t="s">
        <v>400</v>
      </c>
      <c r="E83" s="6" t="s">
        <v>489</v>
      </c>
      <c r="F83" s="6" t="s">
        <v>489</v>
      </c>
    </row>
    <row r="84" spans="1:6">
      <c r="A84" s="6" t="s">
        <v>490</v>
      </c>
      <c r="B84" s="6" t="s">
        <v>487</v>
      </c>
      <c r="C84" s="6" t="s">
        <v>257</v>
      </c>
      <c r="D84" s="6" t="s">
        <v>400</v>
      </c>
      <c r="E84" s="6" t="s">
        <v>488</v>
      </c>
      <c r="F84" s="6" t="s">
        <v>488</v>
      </c>
    </row>
    <row r="85" spans="1:6">
      <c r="A85" s="6" t="s">
        <v>330</v>
      </c>
      <c r="B85" s="6" t="s">
        <v>487</v>
      </c>
      <c r="C85" s="6" t="s">
        <v>257</v>
      </c>
      <c r="D85" s="6" t="s">
        <v>400</v>
      </c>
      <c r="E85" s="6" t="s">
        <v>489</v>
      </c>
      <c r="F85" s="6" t="s">
        <v>489</v>
      </c>
    </row>
    <row r="86" spans="1:6">
      <c r="A86" s="5" t="s">
        <v>289</v>
      </c>
      <c r="B86" s="6" t="s">
        <v>487</v>
      </c>
      <c r="C86" s="6" t="s">
        <v>264</v>
      </c>
      <c r="D86" s="6" t="s">
        <v>491</v>
      </c>
      <c r="E86" s="6" t="s">
        <v>492</v>
      </c>
      <c r="F86" s="6" t="s">
        <v>492</v>
      </c>
    </row>
    <row r="87" spans="1:6">
      <c r="A87" s="5" t="s">
        <v>289</v>
      </c>
      <c r="B87" s="6" t="s">
        <v>487</v>
      </c>
      <c r="C87" s="6" t="s">
        <v>264</v>
      </c>
      <c r="D87" s="6" t="s">
        <v>491</v>
      </c>
      <c r="E87" s="6" t="s">
        <v>493</v>
      </c>
      <c r="F87" s="6" t="s">
        <v>493</v>
      </c>
    </row>
    <row r="88" spans="1:6">
      <c r="A88" s="5" t="s">
        <v>289</v>
      </c>
      <c r="B88" s="6" t="s">
        <v>487</v>
      </c>
      <c r="C88" s="6" t="s">
        <v>264</v>
      </c>
      <c r="D88" s="6" t="s">
        <v>491</v>
      </c>
      <c r="E88" s="6" t="s">
        <v>494</v>
      </c>
      <c r="F88" s="6" t="s">
        <v>494</v>
      </c>
    </row>
    <row r="89" spans="1:6">
      <c r="A89" s="5" t="s">
        <v>294</v>
      </c>
      <c r="B89" s="6" t="s">
        <v>487</v>
      </c>
      <c r="C89" s="6" t="s">
        <v>264</v>
      </c>
      <c r="D89" s="6" t="s">
        <v>400</v>
      </c>
      <c r="E89" s="6" t="s">
        <v>495</v>
      </c>
      <c r="F89" s="6" t="s">
        <v>495</v>
      </c>
    </row>
    <row r="90" spans="1:6">
      <c r="A90" s="6" t="s">
        <v>299</v>
      </c>
      <c r="B90" s="6" t="s">
        <v>487</v>
      </c>
      <c r="C90" s="6" t="s">
        <v>257</v>
      </c>
      <c r="D90" s="6" t="s">
        <v>400</v>
      </c>
      <c r="E90" s="6" t="s">
        <v>489</v>
      </c>
      <c r="F90" s="6" t="s">
        <v>489</v>
      </c>
    </row>
    <row r="91" spans="1:6">
      <c r="A91" s="5" t="s">
        <v>305</v>
      </c>
      <c r="B91" s="6" t="s">
        <v>487</v>
      </c>
      <c r="C91" s="6" t="s">
        <v>264</v>
      </c>
      <c r="D91" s="6" t="s">
        <v>491</v>
      </c>
      <c r="E91" s="6" t="s">
        <v>492</v>
      </c>
      <c r="F91" s="6" t="s">
        <v>492</v>
      </c>
    </row>
    <row r="92" spans="1:6">
      <c r="A92" s="5" t="s">
        <v>305</v>
      </c>
      <c r="B92" s="6" t="s">
        <v>487</v>
      </c>
      <c r="C92" s="6" t="s">
        <v>264</v>
      </c>
      <c r="D92" s="6" t="s">
        <v>491</v>
      </c>
      <c r="E92" s="6" t="s">
        <v>493</v>
      </c>
      <c r="F92" s="6" t="s">
        <v>493</v>
      </c>
    </row>
    <row r="93" spans="1:6">
      <c r="A93" s="5" t="s">
        <v>305</v>
      </c>
      <c r="B93" s="6" t="s">
        <v>487</v>
      </c>
      <c r="C93" s="6" t="s">
        <v>264</v>
      </c>
      <c r="D93" s="6" t="s">
        <v>491</v>
      </c>
      <c r="E93" s="6" t="s">
        <v>494</v>
      </c>
      <c r="F93" s="6" t="s">
        <v>494</v>
      </c>
    </row>
    <row r="94" spans="1:6">
      <c r="A94" s="5" t="s">
        <v>312</v>
      </c>
      <c r="B94" s="6" t="s">
        <v>487</v>
      </c>
      <c r="C94" s="6" t="s">
        <v>264</v>
      </c>
      <c r="D94" s="6" t="s">
        <v>400</v>
      </c>
      <c r="E94" s="6" t="s">
        <v>495</v>
      </c>
      <c r="F94" s="6" t="s">
        <v>495</v>
      </c>
    </row>
    <row r="95" spans="1:6">
      <c r="A95" s="6" t="s">
        <v>317</v>
      </c>
      <c r="B95" s="6" t="s">
        <v>487</v>
      </c>
      <c r="C95" s="6" t="s">
        <v>257</v>
      </c>
      <c r="D95" s="6" t="s">
        <v>400</v>
      </c>
      <c r="E95" s="6" t="s">
        <v>489</v>
      </c>
      <c r="F95" s="6" t="s">
        <v>489</v>
      </c>
    </row>
    <row r="96" spans="1:6">
      <c r="A96" s="5" t="s">
        <v>338</v>
      </c>
      <c r="B96" s="6" t="s">
        <v>496</v>
      </c>
      <c r="C96" s="6" t="s">
        <v>497</v>
      </c>
      <c r="D96" s="6" t="s">
        <v>491</v>
      </c>
      <c r="E96" s="6" t="s">
        <v>498</v>
      </c>
      <c r="F96" s="6" t="s">
        <v>498</v>
      </c>
    </row>
    <row r="97" spans="1:6">
      <c r="A97" s="6" t="s">
        <v>338</v>
      </c>
      <c r="B97" s="6" t="s">
        <v>496</v>
      </c>
      <c r="C97" s="6" t="s">
        <v>497</v>
      </c>
      <c r="D97" s="6" t="s">
        <v>491</v>
      </c>
      <c r="E97" s="6" t="s">
        <v>499</v>
      </c>
      <c r="F97" s="6" t="s">
        <v>499</v>
      </c>
    </row>
    <row r="98" spans="1:6">
      <c r="A98" s="6" t="s">
        <v>335</v>
      </c>
      <c r="B98" s="6" t="s">
        <v>496</v>
      </c>
      <c r="C98" s="6" t="s">
        <v>497</v>
      </c>
      <c r="D98" s="6" t="s">
        <v>491</v>
      </c>
      <c r="E98" s="6" t="s">
        <v>500</v>
      </c>
      <c r="F98" s="6" t="s">
        <v>500</v>
      </c>
    </row>
    <row r="99" spans="1:6">
      <c r="A99" s="6" t="s">
        <v>335</v>
      </c>
      <c r="B99" s="6" t="s">
        <v>496</v>
      </c>
      <c r="C99" s="6" t="s">
        <v>497</v>
      </c>
      <c r="D99" s="6" t="s">
        <v>400</v>
      </c>
      <c r="E99" s="6" t="s">
        <v>501</v>
      </c>
      <c r="F99" s="6" t="s">
        <v>501</v>
      </c>
    </row>
    <row r="100" spans="1:6">
      <c r="A100" s="6" t="s">
        <v>345</v>
      </c>
      <c r="B100" s="6" t="s">
        <v>496</v>
      </c>
      <c r="C100" s="6" t="s">
        <v>497</v>
      </c>
      <c r="D100" s="6" t="s">
        <v>491</v>
      </c>
      <c r="E100" s="6" t="s">
        <v>498</v>
      </c>
      <c r="F100" s="6" t="s">
        <v>498</v>
      </c>
    </row>
    <row r="101" spans="1:6">
      <c r="A101" s="6" t="s">
        <v>345</v>
      </c>
      <c r="B101" s="6" t="s">
        <v>496</v>
      </c>
      <c r="C101" s="6" t="s">
        <v>497</v>
      </c>
      <c r="D101" s="6" t="s">
        <v>491</v>
      </c>
      <c r="E101" s="6" t="s">
        <v>499</v>
      </c>
      <c r="F101" s="6" t="s">
        <v>499</v>
      </c>
    </row>
    <row r="102" spans="1:6">
      <c r="A102" s="6" t="s">
        <v>341</v>
      </c>
      <c r="B102" s="6" t="s">
        <v>496</v>
      </c>
      <c r="C102" s="6" t="s">
        <v>497</v>
      </c>
      <c r="D102" s="6" t="s">
        <v>491</v>
      </c>
      <c r="E102" s="6" t="s">
        <v>500</v>
      </c>
      <c r="F102" s="6" t="s">
        <v>500</v>
      </c>
    </row>
    <row r="103" spans="1:6">
      <c r="A103" s="6" t="s">
        <v>341</v>
      </c>
      <c r="B103" s="6" t="s">
        <v>496</v>
      </c>
      <c r="C103" s="6" t="s">
        <v>497</v>
      </c>
      <c r="D103" s="6" t="s">
        <v>400</v>
      </c>
      <c r="E103" s="6" t="s">
        <v>501</v>
      </c>
      <c r="F103" s="6" t="s">
        <v>501</v>
      </c>
    </row>
    <row r="104" spans="1:6">
      <c r="A104" s="6" t="s">
        <v>350</v>
      </c>
      <c r="B104" s="6" t="s">
        <v>502</v>
      </c>
      <c r="C104" s="6" t="s">
        <v>497</v>
      </c>
      <c r="D104" s="6" t="s">
        <v>491</v>
      </c>
      <c r="E104" s="6" t="s">
        <v>498</v>
      </c>
      <c r="F104" s="6" t="s">
        <v>498</v>
      </c>
    </row>
    <row r="105" spans="1:6">
      <c r="A105" s="6" t="s">
        <v>350</v>
      </c>
      <c r="B105" s="6" t="s">
        <v>502</v>
      </c>
      <c r="C105" s="6" t="s">
        <v>497</v>
      </c>
      <c r="D105" s="6" t="s">
        <v>491</v>
      </c>
      <c r="E105" s="6" t="s">
        <v>499</v>
      </c>
      <c r="F105" s="6" t="s">
        <v>499</v>
      </c>
    </row>
    <row r="106" spans="1:6">
      <c r="A106" s="6" t="s">
        <v>348</v>
      </c>
      <c r="B106" s="6" t="s">
        <v>502</v>
      </c>
      <c r="C106" s="6" t="s">
        <v>497</v>
      </c>
      <c r="D106" s="6" t="s">
        <v>400</v>
      </c>
      <c r="E106" s="6" t="s">
        <v>501</v>
      </c>
      <c r="F106" s="6" t="s">
        <v>501</v>
      </c>
    </row>
    <row r="107" spans="1:6">
      <c r="A107" s="6" t="s">
        <v>355</v>
      </c>
      <c r="B107" s="6" t="s">
        <v>502</v>
      </c>
      <c r="C107" s="6" t="s">
        <v>497</v>
      </c>
      <c r="D107" s="6" t="s">
        <v>491</v>
      </c>
      <c r="E107" s="6" t="s">
        <v>498</v>
      </c>
      <c r="F107" s="6" t="s">
        <v>498</v>
      </c>
    </row>
    <row r="108" spans="1:6">
      <c r="A108" s="6" t="s">
        <v>355</v>
      </c>
      <c r="B108" s="6" t="s">
        <v>502</v>
      </c>
      <c r="C108" s="6" t="s">
        <v>497</v>
      </c>
      <c r="D108" s="6" t="s">
        <v>491</v>
      </c>
      <c r="E108" s="6" t="s">
        <v>499</v>
      </c>
      <c r="F108" s="6" t="s">
        <v>499</v>
      </c>
    </row>
    <row r="109" spans="1:6">
      <c r="A109" s="6" t="s">
        <v>353</v>
      </c>
      <c r="B109" s="6" t="s">
        <v>502</v>
      </c>
      <c r="C109" s="6" t="s">
        <v>497</v>
      </c>
      <c r="D109" s="6" t="s">
        <v>400</v>
      </c>
      <c r="E109" s="6" t="s">
        <v>501</v>
      </c>
      <c r="F109" s="6" t="s">
        <v>501</v>
      </c>
    </row>
    <row r="110" spans="1:6">
      <c r="A110" s="6" t="s">
        <v>358</v>
      </c>
      <c r="B110" s="6" t="s">
        <v>503</v>
      </c>
      <c r="C110" s="6" t="s">
        <v>504</v>
      </c>
      <c r="D110" s="6" t="s">
        <v>400</v>
      </c>
      <c r="E110" s="6" t="s">
        <v>505</v>
      </c>
      <c r="F110" s="6" t="s">
        <v>505</v>
      </c>
    </row>
    <row r="111" spans="1:6">
      <c r="A111" s="6" t="s">
        <v>362</v>
      </c>
      <c r="B111" s="6" t="s">
        <v>503</v>
      </c>
      <c r="C111" s="6" t="s">
        <v>504</v>
      </c>
      <c r="D111" s="6" t="s">
        <v>491</v>
      </c>
      <c r="E111" s="6" t="s">
        <v>506</v>
      </c>
      <c r="F111" s="6" t="s">
        <v>506</v>
      </c>
    </row>
    <row r="112" spans="1:6">
      <c r="A112" s="6" t="s">
        <v>365</v>
      </c>
      <c r="B112" s="6" t="s">
        <v>503</v>
      </c>
      <c r="C112" s="6" t="s">
        <v>504</v>
      </c>
      <c r="D112" s="6" t="s">
        <v>400</v>
      </c>
      <c r="E112" s="6" t="s">
        <v>507</v>
      </c>
      <c r="F112" s="6" t="s">
        <v>507</v>
      </c>
    </row>
    <row r="113" spans="1:6">
      <c r="A113" s="6" t="s">
        <v>377</v>
      </c>
      <c r="B113" s="6" t="s">
        <v>508</v>
      </c>
      <c r="C113" s="6" t="s">
        <v>509</v>
      </c>
      <c r="D113" s="6" t="s">
        <v>400</v>
      </c>
      <c r="E113" s="6" t="s">
        <v>510</v>
      </c>
      <c r="F113" s="6" t="s">
        <v>511</v>
      </c>
    </row>
    <row r="114" spans="1:6">
      <c r="A114" s="6" t="s">
        <v>377</v>
      </c>
      <c r="B114" s="6" t="s">
        <v>508</v>
      </c>
      <c r="C114" s="6" t="s">
        <v>512</v>
      </c>
      <c r="D114" s="6" t="s">
        <v>400</v>
      </c>
      <c r="E114" s="6" t="s">
        <v>513</v>
      </c>
      <c r="F114" s="6" t="s">
        <v>513</v>
      </c>
    </row>
    <row r="115" spans="1:6">
      <c r="A115" s="6" t="s">
        <v>381</v>
      </c>
      <c r="B115" s="6" t="s">
        <v>508</v>
      </c>
      <c r="C115" s="6" t="s">
        <v>509</v>
      </c>
      <c r="D115" s="6" t="s">
        <v>400</v>
      </c>
      <c r="E115" s="6" t="s">
        <v>510</v>
      </c>
      <c r="F115" s="6" t="s">
        <v>511</v>
      </c>
    </row>
    <row r="116" spans="1:6">
      <c r="A116" s="6" t="s">
        <v>381</v>
      </c>
      <c r="B116" s="6" t="s">
        <v>508</v>
      </c>
      <c r="C116" s="6" t="s">
        <v>512</v>
      </c>
      <c r="D116" s="6" t="s">
        <v>491</v>
      </c>
      <c r="E116" s="6" t="s">
        <v>514</v>
      </c>
      <c r="F116" s="6" t="s">
        <v>514</v>
      </c>
    </row>
    <row r="117" spans="1:6">
      <c r="A117" s="6" t="s">
        <v>381</v>
      </c>
      <c r="B117" s="6" t="s">
        <v>508</v>
      </c>
      <c r="C117" s="6" t="s">
        <v>512</v>
      </c>
      <c r="D117" s="6" t="s">
        <v>491</v>
      </c>
      <c r="E117" s="6" t="s">
        <v>515</v>
      </c>
      <c r="F117" s="6" t="s">
        <v>515</v>
      </c>
    </row>
    <row r="118" spans="1:6">
      <c r="A118" s="6" t="s">
        <v>381</v>
      </c>
      <c r="B118" s="6" t="s">
        <v>508</v>
      </c>
      <c r="C118" s="6" t="s">
        <v>512</v>
      </c>
      <c r="D118" s="6" t="s">
        <v>491</v>
      </c>
      <c r="E118" s="6" t="s">
        <v>516</v>
      </c>
      <c r="F118" s="6" t="s">
        <v>516</v>
      </c>
    </row>
    <row r="119" spans="1:6">
      <c r="A119" s="6" t="s">
        <v>384</v>
      </c>
      <c r="B119" s="6" t="s">
        <v>508</v>
      </c>
      <c r="C119" s="6" t="s">
        <v>509</v>
      </c>
      <c r="D119" s="6" t="s">
        <v>400</v>
      </c>
      <c r="E119" s="6" t="s">
        <v>510</v>
      </c>
      <c r="F119" s="6" t="s">
        <v>511</v>
      </c>
    </row>
    <row r="120" spans="1:6">
      <c r="A120" s="6" t="s">
        <v>384</v>
      </c>
      <c r="B120" s="6" t="s">
        <v>508</v>
      </c>
      <c r="C120" s="6" t="s">
        <v>512</v>
      </c>
      <c r="D120" s="6" t="s">
        <v>400</v>
      </c>
      <c r="E120" s="6" t="s">
        <v>513</v>
      </c>
      <c r="F120" s="6" t="s">
        <v>513</v>
      </c>
    </row>
    <row r="121" spans="1:6">
      <c r="A121" s="6" t="s">
        <v>387</v>
      </c>
      <c r="B121" s="6" t="s">
        <v>508</v>
      </c>
      <c r="C121" s="6" t="s">
        <v>509</v>
      </c>
      <c r="D121" s="6" t="s">
        <v>400</v>
      </c>
      <c r="E121" s="6" t="s">
        <v>510</v>
      </c>
      <c r="F121" s="6" t="s">
        <v>511</v>
      </c>
    </row>
    <row r="122" spans="1:6">
      <c r="A122" s="6" t="s">
        <v>387</v>
      </c>
      <c r="B122" s="6" t="s">
        <v>508</v>
      </c>
      <c r="C122" s="6" t="s">
        <v>512</v>
      </c>
      <c r="D122" s="6" t="s">
        <v>400</v>
      </c>
      <c r="E122" s="6" t="s">
        <v>517</v>
      </c>
      <c r="F122" s="6" t="s">
        <v>517</v>
      </c>
    </row>
    <row r="123" spans="1:6">
      <c r="A123" s="6" t="s">
        <v>390</v>
      </c>
      <c r="B123" s="6" t="s">
        <v>508</v>
      </c>
      <c r="C123" s="6" t="s">
        <v>509</v>
      </c>
      <c r="D123" s="6" t="s">
        <v>400</v>
      </c>
      <c r="E123" s="6" t="s">
        <v>510</v>
      </c>
      <c r="F123" s="6" t="s">
        <v>511</v>
      </c>
    </row>
    <row r="124" spans="1:6">
      <c r="A124" s="6" t="s">
        <v>390</v>
      </c>
      <c r="B124" s="6" t="s">
        <v>508</v>
      </c>
      <c r="C124" s="6" t="s">
        <v>512</v>
      </c>
      <c r="D124" s="6" t="s">
        <v>491</v>
      </c>
      <c r="E124" s="6" t="s">
        <v>514</v>
      </c>
      <c r="F124" s="6" t="s">
        <v>514</v>
      </c>
    </row>
    <row r="125" spans="1:6">
      <c r="A125" s="6" t="s">
        <v>390</v>
      </c>
      <c r="B125" s="6" t="s">
        <v>508</v>
      </c>
      <c r="C125" s="6" t="s">
        <v>512</v>
      </c>
      <c r="D125" s="6" t="s">
        <v>491</v>
      </c>
      <c r="E125" s="6" t="s">
        <v>515</v>
      </c>
      <c r="F125" s="6" t="s">
        <v>515</v>
      </c>
    </row>
    <row r="126" spans="1:6">
      <c r="A126" s="6" t="s">
        <v>390</v>
      </c>
      <c r="B126" s="6" t="s">
        <v>508</v>
      </c>
      <c r="C126" s="6" t="s">
        <v>512</v>
      </c>
      <c r="D126" s="6" t="s">
        <v>491</v>
      </c>
      <c r="E126" s="6" t="s">
        <v>516</v>
      </c>
      <c r="F126" s="6" t="s">
        <v>516</v>
      </c>
    </row>
  </sheetData>
  <phoneticPr fontId="6" type="noConversion"/>
  <dataValidations count="1">
    <dataValidation type="list" allowBlank="1" showInputMessage="1" showErrorMessage="1" sqref="D2:D1048576" xr:uid="{00000000-0002-0000-0100-000000000000}">
      <formula1>"LT,LE,GT,GE,EQ,NE,IN,NOTIN"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067757598BE04AA3314E40B7BCB194" ma:contentTypeVersion="3" ma:contentTypeDescription="Create a new document." ma:contentTypeScope="" ma:versionID="55380fb6f3e54d60bd44096262c166cc">
  <xsd:schema xmlns:xsd="http://www.w3.org/2001/XMLSchema" xmlns:xs="http://www.w3.org/2001/XMLSchema" xmlns:p="http://schemas.microsoft.com/office/2006/metadata/properties" xmlns:ns2="162221cc-14d1-45da-bf96-fb7ece7de15a" xmlns:ns3="http://schemas.microsoft.com/sharepoint/v3/fields" targetNamespace="http://schemas.microsoft.com/office/2006/metadata/properties" ma:root="true" ma:fieldsID="7c84e42fe1f7b7ed94282c2f8d24fcc4" ns2:_="" ns3:_="">
    <xsd:import namespace="162221cc-14d1-45da-bf96-fb7ece7de15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Status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221cc-14d1-45da-bf96-fb7ece7de1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10" ma:displayName="Status" ma:default="Not Applicable" ma:format="RadioButtons" ma:internalName="_Status">
      <xsd:simpleType>
        <xsd:restriction base="dms:Choice">
          <xsd:enumeration value="Not Applicable"/>
          <xsd:enumeration value="Draft"/>
          <xsd:enumeration value="Active"/>
          <xsd:enumeration value="Expir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axOccurs="1" ma:displayName="Status">
          <xsd:simpleType xmlns:xs="http://www.w3.org/2001/XMLSchema">
            <xsd:restriction base="xsd:string">
              <xsd:minLength value="1"/>
            </xsd:restriction>
          </xsd:simpleType>
        </xsd:element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>Not Applicable</_Status>
  </documentManagement>
</p:properties>
</file>

<file path=customXml/itemProps1.xml><?xml version="1.0" encoding="utf-8"?>
<ds:datastoreItem xmlns:ds="http://schemas.openxmlformats.org/officeDocument/2006/customXml" ds:itemID="{B9A195C4-ECF0-4CAF-B884-67F34D24B24D}"/>
</file>

<file path=customXml/itemProps2.xml><?xml version="1.0" encoding="utf-8"?>
<ds:datastoreItem xmlns:ds="http://schemas.openxmlformats.org/officeDocument/2006/customXml" ds:itemID="{4B47EBC0-79B1-4806-A72E-D0E8936BB85F}"/>
</file>

<file path=customXml/itemProps3.xml><?xml version="1.0" encoding="utf-8"?>
<ds:datastoreItem xmlns:ds="http://schemas.openxmlformats.org/officeDocument/2006/customXml" ds:itemID="{FC8942EF-542A-472C-AB08-B8CDF6DB27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顾海华</dc:creator>
  <cp:keywords/>
  <dc:description/>
  <cp:lastModifiedBy>Fanyu Li~R&amp;D[李璠宇]</cp:lastModifiedBy>
  <cp:revision/>
  <dcterms:created xsi:type="dcterms:W3CDTF">2018-07-13T08:25:08Z</dcterms:created>
  <dcterms:modified xsi:type="dcterms:W3CDTF">2025-04-28T07:58:40Z</dcterms:modified>
  <cp:category/>
  <cp:contentStatus>Active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0x0101005E067757598BE04AA3314E40B7BCB194</vt:lpwstr>
  </property>
</Properties>
</file>